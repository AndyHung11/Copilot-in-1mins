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檔期銷售" sheetId="1" state="visible" r:id="rId1"/>
    <sheet xmlns:r="http://schemas.openxmlformats.org/officeDocument/2006/relationships" name="檔期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Microsoft JhengHei"/>
      <b val="1"/>
      <color rgb="00FFFFFF"/>
    </font>
    <font>
      <name val="Microsoft JhengHei"/>
      <b val="1"/>
    </font>
  </fonts>
  <fills count="3">
    <fill>
      <patternFill/>
    </fill>
    <fill>
      <patternFill patternType="gray125"/>
    </fill>
    <fill>
      <patternFill patternType="solid">
        <fgColor rgb="002F5D5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2" customWidth="1" min="3" max="3"/>
    <col width="12" customWidth="1" min="4" max="4"/>
    <col width="18" customWidth="1" min="5" max="5"/>
    <col width="20" customWidth="1" min="6" max="6"/>
    <col width="16" customWidth="1" min="7" max="7"/>
  </cols>
  <sheetData>
    <row r="1">
      <c r="A1" s="1" t="inlineStr">
        <is>
          <t>商品</t>
        </is>
      </c>
      <c r="B1" s="1" t="inlineStr">
        <is>
          <t>類別</t>
        </is>
      </c>
      <c r="C1" s="1" t="inlineStr">
        <is>
          <t>售價(NT$)</t>
        </is>
      </c>
      <c r="D1" s="1" t="inlineStr">
        <is>
          <t>檔期銷量</t>
        </is>
      </c>
      <c r="E1" s="1" t="inlineStr">
        <is>
          <t>檔期營收(NT$)</t>
        </is>
      </c>
      <c r="F1" s="1" t="inlineStr">
        <is>
          <t>去年同期營收(NT$)</t>
        </is>
      </c>
      <c r="G1" s="1" t="inlineStr">
        <is>
          <t>主要渠道</t>
        </is>
      </c>
    </row>
    <row r="2">
      <c r="A2" s="2" t="inlineStr">
        <is>
          <t>秋日香氛蠟燭-雪松</t>
        </is>
      </c>
      <c r="B2" s="2" t="inlineStr">
        <is>
          <t>香氛蠟燭</t>
        </is>
      </c>
      <c r="C2" s="3" t="n">
        <v>680</v>
      </c>
      <c r="D2" s="3" t="n">
        <v>1420</v>
      </c>
      <c r="E2" s="3" t="n">
        <v>965600</v>
      </c>
      <c r="F2" s="3" t="n">
        <v>0</v>
      </c>
      <c r="G2" s="2" t="inlineStr">
        <is>
          <t>官網DTC</t>
        </is>
      </c>
    </row>
    <row r="3">
      <c r="A3" s="2" t="inlineStr">
        <is>
          <t>秋日香氛蠟燭-營火</t>
        </is>
      </c>
      <c r="B3" s="2" t="inlineStr">
        <is>
          <t>香氛蠟燭</t>
        </is>
      </c>
      <c r="C3" s="3" t="n">
        <v>680</v>
      </c>
      <c r="D3" s="3" t="n">
        <v>1680</v>
      </c>
      <c r="E3" s="3" t="n">
        <v>1142400</v>
      </c>
      <c r="F3" s="3" t="n">
        <v>0</v>
      </c>
      <c r="G3" s="2" t="inlineStr">
        <is>
          <t>官網DTC</t>
        </is>
      </c>
    </row>
    <row r="4">
      <c r="A4" s="2" t="inlineStr">
        <is>
          <t>秋日香氛蠟燭-檜木</t>
        </is>
      </c>
      <c r="B4" s="2" t="inlineStr">
        <is>
          <t>香氛蠟燭</t>
        </is>
      </c>
      <c r="C4" s="3" t="n">
        <v>680</v>
      </c>
      <c r="D4" s="3" t="n">
        <v>1180</v>
      </c>
      <c r="E4" s="3" t="n">
        <v>802400</v>
      </c>
      <c r="F4" s="3" t="n">
        <v>0</v>
      </c>
      <c r="G4" s="2" t="inlineStr">
        <is>
          <t>會員EDM</t>
        </is>
      </c>
    </row>
    <row r="5">
      <c r="A5" s="2" t="inlineStr">
        <is>
          <t>便攜露營氛圍燈</t>
        </is>
      </c>
      <c r="B5" s="2" t="inlineStr">
        <is>
          <t>氛圍燈</t>
        </is>
      </c>
      <c r="C5" s="3" t="n">
        <v>1280</v>
      </c>
      <c r="D5" s="3" t="n">
        <v>980</v>
      </c>
      <c r="E5" s="3" t="n">
        <v>1254400</v>
      </c>
      <c r="F5" s="3" t="n">
        <v>0</v>
      </c>
      <c r="G5" s="2" t="inlineStr">
        <is>
          <t>社群短影音</t>
        </is>
      </c>
    </row>
    <row r="6">
      <c r="A6" s="2" t="inlineStr">
        <is>
          <t>秋日露營組合包</t>
        </is>
      </c>
      <c r="B6" s="2" t="inlineStr">
        <is>
          <t>組合包</t>
        </is>
      </c>
      <c r="C6" s="3" t="n">
        <v>1880</v>
      </c>
      <c r="D6" s="3" t="n">
        <v>760</v>
      </c>
      <c r="E6" s="3" t="n">
        <v>1428800</v>
      </c>
      <c r="F6" s="3" t="n">
        <v>0</v>
      </c>
      <c r="G6" s="2" t="inlineStr">
        <is>
          <t>官網DTC</t>
        </is>
      </c>
    </row>
    <row r="7">
      <c r="A7" s="2" t="inlineStr">
        <is>
          <t>經典露營馬克杯</t>
        </is>
      </c>
      <c r="B7" s="2" t="inlineStr">
        <is>
          <t>周邊</t>
        </is>
      </c>
      <c r="C7" s="3" t="n">
        <v>420</v>
      </c>
      <c r="D7" s="3" t="n">
        <v>640</v>
      </c>
      <c r="E7" s="3" t="n">
        <v>268800</v>
      </c>
      <c r="F7" s="3" t="n">
        <v>251000</v>
      </c>
      <c r="G7" s="2" t="inlineStr">
        <is>
          <t>官網DTC</t>
        </is>
      </c>
    </row>
    <row r="8">
      <c r="A8" s="2" t="inlineStr">
        <is>
          <t>戶外機能薄外套</t>
        </is>
      </c>
      <c r="B8" s="2" t="inlineStr">
        <is>
          <t>服飾</t>
        </is>
      </c>
      <c r="C8" s="3" t="n">
        <v>1680</v>
      </c>
      <c r="D8" s="3" t="n">
        <v>305</v>
      </c>
      <c r="E8" s="3" t="n">
        <v>512400</v>
      </c>
      <c r="F8" s="3" t="n">
        <v>498000</v>
      </c>
      <c r="G8" s="2" t="inlineStr">
        <is>
          <t>官網DTC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</cols>
  <sheetData>
    <row r="1">
      <c r="A1" s="4" t="inlineStr">
        <is>
          <t>檔期</t>
        </is>
      </c>
      <c r="B1" t="inlineStr">
        <is>
          <t>2026 秋日露營季 (9/15-10/15)</t>
        </is>
      </c>
    </row>
    <row r="2">
      <c r="A2" s="4" t="inlineStr">
        <is>
          <t>總營收(NT$)</t>
        </is>
      </c>
      <c r="B2">
        <f>SUM('檔期銷售'!E2:E8)</f>
        <v/>
      </c>
    </row>
    <row r="3">
      <c r="A3" s="4" t="inlineStr">
        <is>
          <t>新品營收(NT$)</t>
        </is>
      </c>
      <c r="B3">
        <f>SUM('檔期銷售'!E2:E6)</f>
        <v/>
      </c>
    </row>
    <row r="4">
      <c r="A4" s="4" t="inlineStr">
        <is>
          <t>新品占比</t>
        </is>
      </c>
      <c r="B4" s="5">
        <f>B3/B2</f>
        <v/>
      </c>
    </row>
    <row r="5">
      <c r="A5" s="4" t="inlineStr">
        <is>
          <t>EDM 開信率</t>
        </is>
      </c>
      <c r="B5" t="inlineStr">
        <is>
          <t>29.4%</t>
        </is>
      </c>
    </row>
    <row r="6">
      <c r="A6" s="4" t="inlineStr">
        <is>
          <t>官網不重複訪客</t>
        </is>
      </c>
      <c r="B6" t="inlineStr">
        <is>
          <t>268,000</t>
        </is>
      </c>
    </row>
    <row r="7">
      <c r="A7" s="4" t="inlineStr">
        <is>
          <t>新增會員</t>
        </is>
      </c>
      <c r="B7" t="inlineStr">
        <is>
          <t>8,640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2026-07-09T09:29:01Z</dcterms:created>
  <dcterms:modified xmlns:dcterms="http://purl.org/dc/terms/" xmlns:xsi="http://www.w3.org/2001/XMLSchema-instance" xsi:type="dcterms:W3CDTF">2026-07-09T09:29:01Z</dcterms:modified>
</cp:coreProperties>
</file>