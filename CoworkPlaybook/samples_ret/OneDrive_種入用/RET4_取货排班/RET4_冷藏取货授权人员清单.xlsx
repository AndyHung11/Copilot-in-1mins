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权清单" sheetId="1" state="visible" r:id="rId1"/>
    <sheet xmlns:r="http://schemas.openxmlformats.org/officeDocument/2006/relationships" name="培训批次" sheetId="2" state="visible" r:id="rId2"/>
  </sheets>
  <definedNames>
    <definedName name="_xlnm._FilterDatabase" localSheetId="0" hidden="1">'授权清单'!$A$4:$L$35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6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3" customWidth="1" min="10" max="10"/>
    <col width="16" customWidth="1" min="11" max="11"/>
    <col width="34" customWidth="1" min="12" max="12"/>
  </cols>
  <sheetData>
    <row r="1">
      <c r="A1" s="1" t="inlineStr">
        <is>
          <t>冷藏取货授权人员清单</t>
        </is>
      </c>
    </row>
    <row r="2">
      <c r="A2" s="2" t="inlineStr">
        <is>
          <t>文档编号 QA-CC-AUTH-2611　版本 v4　数据截止日 2026-11-03　承办单位：品保部＋门店运营部</t>
        </is>
      </c>
    </row>
    <row r="4" ht="30" customHeight="1">
      <c r="A4" s="3" t="inlineStr">
        <is>
          <t>员工编号</t>
        </is>
      </c>
      <c r="B4" s="3" t="inlineStr">
        <is>
          <t>姓名</t>
        </is>
      </c>
      <c r="C4" s="3" t="inlineStr">
        <is>
          <t>所属门店</t>
        </is>
      </c>
      <c r="D4" s="3" t="inlineStr">
        <is>
          <t>门店名称</t>
        </is>
      </c>
      <c r="E4" s="3" t="inlineStr">
        <is>
          <t>授权项目</t>
        </is>
      </c>
      <c r="F4" s="3" t="inlineStr">
        <is>
          <t>授权状态</t>
        </is>
      </c>
      <c r="G4" s="3" t="inlineStr">
        <is>
          <t>授权日</t>
        </is>
      </c>
      <c r="H4" s="3" t="inlineStr">
        <is>
          <t>授权到期日</t>
        </is>
      </c>
      <c r="I4" s="3" t="inlineStr">
        <is>
          <t>培训批次</t>
        </is>
      </c>
      <c r="J4" s="3" t="inlineStr">
        <is>
          <t>培训开始日</t>
        </is>
      </c>
      <c r="K4" s="3" t="inlineStr">
        <is>
          <t>最早可授权日</t>
        </is>
      </c>
      <c r="L4" s="3" t="inlineStr">
        <is>
          <t>备注</t>
        </is>
      </c>
    </row>
    <row r="5">
      <c r="A5" s="4" t="inlineStr">
        <is>
          <t>Z10231</t>
        </is>
      </c>
      <c r="B5" s="4" t="inlineStr">
        <is>
          <t>刘梅</t>
        </is>
      </c>
      <c r="C5" s="4" t="inlineStr">
        <is>
          <t>S031</t>
        </is>
      </c>
      <c r="D5" s="4" t="inlineStr">
        <is>
          <t>上海浦东店</t>
        </is>
      </c>
      <c r="E5" s="4" t="inlineStr">
        <is>
          <t>冷藏取货</t>
        </is>
      </c>
      <c r="F5" s="4" t="inlineStr">
        <is>
          <t>有效</t>
        </is>
      </c>
      <c r="G5" s="5" t="n">
        <v>45726</v>
      </c>
      <c r="H5" s="5" t="n">
        <v>46455</v>
      </c>
      <c r="I5" s="4" t="n"/>
      <c r="J5" s="5" t="n"/>
      <c r="K5" s="5">
        <f>IF(J5="","",J5+5)</f>
        <v/>
      </c>
      <c r="L5" s="4" t="n"/>
    </row>
    <row r="6">
      <c r="A6" s="4" t="inlineStr">
        <is>
          <t>Z10232</t>
        </is>
      </c>
      <c r="B6" s="4" t="inlineStr">
        <is>
          <t>王建国</t>
        </is>
      </c>
      <c r="C6" s="4" t="inlineStr">
        <is>
          <t>S031</t>
        </is>
      </c>
      <c r="D6" s="4" t="inlineStr">
        <is>
          <t>上海浦东店</t>
        </is>
      </c>
      <c r="E6" s="4" t="inlineStr">
        <is>
          <t>冷藏取货</t>
        </is>
      </c>
      <c r="F6" s="4" t="inlineStr">
        <is>
          <t>有效</t>
        </is>
      </c>
      <c r="G6" s="5" t="n">
        <v>45810</v>
      </c>
      <c r="H6" s="5" t="n">
        <v>46539</v>
      </c>
      <c r="I6" s="4" t="n"/>
      <c r="J6" s="5" t="n"/>
      <c r="K6" s="5">
        <f>IF(J6="","",J6+5)</f>
        <v/>
      </c>
      <c r="L6" s="4" t="n"/>
    </row>
    <row r="7">
      <c r="A7" s="4" t="inlineStr">
        <is>
          <t>Z10233</t>
        </is>
      </c>
      <c r="B7" s="4" t="inlineStr">
        <is>
          <t>吴佳颖</t>
        </is>
      </c>
      <c r="C7" s="4" t="inlineStr">
        <is>
          <t>S031</t>
        </is>
      </c>
      <c r="D7" s="4" t="inlineStr">
        <is>
          <t>上海浦东店</t>
        </is>
      </c>
      <c r="E7" s="4" t="inlineStr">
        <is>
          <t>冷藏取货</t>
        </is>
      </c>
      <c r="F7" s="4" t="inlineStr">
        <is>
          <t>有效</t>
        </is>
      </c>
      <c r="G7" s="5" t="n">
        <v>45614</v>
      </c>
      <c r="H7" s="5" t="n">
        <v>46343</v>
      </c>
      <c r="I7" s="4" t="n"/>
      <c r="J7" s="5" t="n"/>
      <c r="K7" s="5">
        <f>IF(J7="","",J7+5)</f>
        <v/>
      </c>
      <c r="L7" s="4" t="n"/>
    </row>
    <row r="8">
      <c r="A8" s="4" t="inlineStr">
        <is>
          <t>Z10234</t>
        </is>
      </c>
      <c r="B8" s="4" t="inlineStr">
        <is>
          <t>许志伟</t>
        </is>
      </c>
      <c r="C8" s="4" t="inlineStr">
        <is>
          <t>S031</t>
        </is>
      </c>
      <c r="D8" s="4" t="inlineStr">
        <is>
          <t>上海浦东店</t>
        </is>
      </c>
      <c r="E8" s="4" t="inlineStr">
        <is>
          <t>冷藏取货</t>
        </is>
      </c>
      <c r="F8" s="4" t="inlineStr">
        <is>
          <t>未授权</t>
        </is>
      </c>
      <c r="G8" s="5" t="n"/>
      <c r="H8" s="5" t="n"/>
      <c r="I8" s="4" t="n"/>
      <c r="J8" s="5" t="n"/>
      <c r="K8" s="5">
        <f>IF(J8="","",J8+5)</f>
        <v/>
      </c>
      <c r="L8" s="4" t="n"/>
    </row>
    <row r="9">
      <c r="A9" s="4" t="inlineStr">
        <is>
          <t>Z10235</t>
        </is>
      </c>
      <c r="B9" s="4" t="inlineStr">
        <is>
          <t>郑雅雯</t>
        </is>
      </c>
      <c r="C9" s="4" t="inlineStr">
        <is>
          <t>S031</t>
        </is>
      </c>
      <c r="D9" s="4" t="inlineStr">
        <is>
          <t>上海浦东店</t>
        </is>
      </c>
      <c r="E9" s="4" t="inlineStr">
        <is>
          <t>冷藏取货</t>
        </is>
      </c>
      <c r="F9" s="4" t="inlineStr">
        <is>
          <t>培训报名中</t>
        </is>
      </c>
      <c r="G9" s="5" t="n"/>
      <c r="H9" s="5" t="n"/>
      <c r="I9" s="4" t="inlineStr">
        <is>
          <t>CT-2611-A</t>
        </is>
      </c>
      <c r="J9" s="5" t="n">
        <v>46330</v>
      </c>
      <c r="K9" s="5">
        <f>IF(J9="","",J9+5)</f>
        <v/>
      </c>
      <c r="L9" s="4" t="n"/>
    </row>
    <row r="10">
      <c r="A10" s="4" t="inlineStr">
        <is>
          <t>Z10236</t>
        </is>
      </c>
      <c r="B10" s="4" t="inlineStr">
        <is>
          <t>蔡浩宇</t>
        </is>
      </c>
      <c r="C10" s="4" t="inlineStr">
        <is>
          <t>S031</t>
        </is>
      </c>
      <c r="D10" s="4" t="inlineStr">
        <is>
          <t>上海浦东店</t>
        </is>
      </c>
      <c r="E10" s="4" t="inlineStr">
        <is>
          <t>冷藏取货</t>
        </is>
      </c>
      <c r="F10" s="4" t="inlineStr">
        <is>
          <t>未授权</t>
        </is>
      </c>
      <c r="G10" s="5" t="n"/>
      <c r="H10" s="5" t="n"/>
      <c r="I10" s="4" t="n"/>
      <c r="J10" s="5" t="n"/>
      <c r="K10" s="5">
        <f>IF(J10="","",J10+5)</f>
        <v/>
      </c>
      <c r="L10" s="4" t="n"/>
    </row>
    <row r="11">
      <c r="A11" s="4" t="inlineStr">
        <is>
          <t>Z20001</t>
        </is>
      </c>
      <c r="B11" s="4" t="inlineStr">
        <is>
          <t>孙怡萱</t>
        </is>
      </c>
      <c r="C11" s="4" t="inlineStr">
        <is>
          <t>S008</t>
        </is>
      </c>
      <c r="D11" s="4" t="inlineStr">
        <is>
          <t>上海奉贤店</t>
        </is>
      </c>
      <c r="E11" s="4" t="inlineStr">
        <is>
          <t>冷藏取货</t>
        </is>
      </c>
      <c r="F11" s="4" t="inlineStr">
        <is>
          <t>未授权</t>
        </is>
      </c>
      <c r="G11" s="5" t="n"/>
      <c r="H11" s="5" t="n"/>
      <c r="I11" s="4" t="n"/>
      <c r="J11" s="5" t="n"/>
      <c r="K11" s="5">
        <f>IF(J11="","",J11+5)</f>
        <v/>
      </c>
      <c r="L11" s="4" t="n"/>
    </row>
    <row r="12">
      <c r="A12" s="4" t="inlineStr">
        <is>
          <t>Z20002</t>
        </is>
      </c>
      <c r="B12" s="4" t="inlineStr">
        <is>
          <t>马承恩</t>
        </is>
      </c>
      <c r="C12" s="4" t="inlineStr">
        <is>
          <t>S008</t>
        </is>
      </c>
      <c r="D12" s="4" t="inlineStr">
        <is>
          <t>上海奉贤店</t>
        </is>
      </c>
      <c r="E12" s="4" t="inlineStr">
        <is>
          <t>冷藏取货</t>
        </is>
      </c>
      <c r="F12" s="4" t="inlineStr">
        <is>
          <t>培训报名中</t>
        </is>
      </c>
      <c r="G12" s="5" t="n"/>
      <c r="H12" s="5" t="n"/>
      <c r="I12" s="4" t="inlineStr">
        <is>
          <t>CT-2611-B</t>
        </is>
      </c>
      <c r="J12" s="5" t="n">
        <v>46335</v>
      </c>
      <c r="K12" s="5">
        <f>IF(J12="","",J12+5)</f>
        <v/>
      </c>
      <c r="L12" s="4" t="n"/>
    </row>
    <row r="13">
      <c r="A13" s="4" t="inlineStr">
        <is>
          <t>Z20003</t>
        </is>
      </c>
      <c r="B13" s="4" t="inlineStr">
        <is>
          <t>林宗宪</t>
        </is>
      </c>
      <c r="C13" s="4" t="inlineStr">
        <is>
          <t>S008</t>
        </is>
      </c>
      <c r="D13" s="4" t="inlineStr">
        <is>
          <t>上海奉贤店</t>
        </is>
      </c>
      <c r="E13" s="4" t="inlineStr">
        <is>
          <t>冷藏取货</t>
        </is>
      </c>
      <c r="F13" s="4" t="inlineStr">
        <is>
          <t>有效</t>
        </is>
      </c>
      <c r="G13" s="5" t="n">
        <v>45917</v>
      </c>
      <c r="H13" s="5" t="n">
        <v>46647</v>
      </c>
      <c r="I13" s="4" t="n"/>
      <c r="J13" s="5" t="n"/>
      <c r="K13" s="5">
        <f>IF(J13="","",J13+5)</f>
        <v/>
      </c>
      <c r="L13" s="4" t="n"/>
    </row>
    <row r="14">
      <c r="A14" s="4" t="inlineStr">
        <is>
          <t>Z20004</t>
        </is>
      </c>
      <c r="B14" s="4" t="inlineStr">
        <is>
          <t>黄雅筑</t>
        </is>
      </c>
      <c r="C14" s="4" t="inlineStr">
        <is>
          <t>S008</t>
        </is>
      </c>
      <c r="D14" s="4" t="inlineStr">
        <is>
          <t>上海奉贤店</t>
        </is>
      </c>
      <c r="E14" s="4" t="inlineStr">
        <is>
          <t>冷藏取货</t>
        </is>
      </c>
      <c r="F14" s="4" t="inlineStr">
        <is>
          <t>未授权</t>
        </is>
      </c>
      <c r="G14" s="5" t="n"/>
      <c r="H14" s="5" t="n"/>
      <c r="I14" s="4" t="n"/>
      <c r="J14" s="5" t="n"/>
      <c r="K14" s="5">
        <f>IF(J14="","",J14+5)</f>
        <v/>
      </c>
      <c r="L14" s="4" t="n"/>
    </row>
    <row r="15">
      <c r="A15" s="4" t="inlineStr">
        <is>
          <t>Z20005</t>
        </is>
      </c>
      <c r="B15" s="4" t="inlineStr">
        <is>
          <t>赵怡萱</t>
        </is>
      </c>
      <c r="C15" s="4" t="inlineStr">
        <is>
          <t>S008</t>
        </is>
      </c>
      <c r="D15" s="4" t="inlineStr">
        <is>
          <t>上海奉贤店</t>
        </is>
      </c>
      <c r="E15" s="4" t="inlineStr">
        <is>
          <t>冷藏取货</t>
        </is>
      </c>
      <c r="F15" s="4" t="inlineStr">
        <is>
          <t>有效</t>
        </is>
      </c>
      <c r="G15" s="5" t="n">
        <v>45849</v>
      </c>
      <c r="H15" s="5" t="n">
        <v>46579</v>
      </c>
      <c r="I15" s="4" t="n"/>
      <c r="J15" s="5" t="n"/>
      <c r="K15" s="5">
        <f>IF(J15="","",J15+5)</f>
        <v/>
      </c>
      <c r="L15" s="4" t="n"/>
    </row>
    <row r="16">
      <c r="A16" s="4" t="inlineStr">
        <is>
          <t>Z20006</t>
        </is>
      </c>
      <c r="B16" s="4" t="inlineStr">
        <is>
          <t>郭雅筑</t>
        </is>
      </c>
      <c r="C16" s="4" t="inlineStr">
        <is>
          <t>S042</t>
        </is>
      </c>
      <c r="D16" s="4" t="inlineStr">
        <is>
          <t>厦门思明店</t>
        </is>
      </c>
      <c r="E16" s="4" t="inlineStr">
        <is>
          <t>冷藏取货</t>
        </is>
      </c>
      <c r="F16" s="4" t="inlineStr">
        <is>
          <t>已到期</t>
        </is>
      </c>
      <c r="G16" s="5" t="n">
        <v>45712</v>
      </c>
      <c r="H16" s="5" t="n">
        <v>46218</v>
      </c>
      <c r="I16" s="4" t="n"/>
      <c r="J16" s="5" t="n"/>
      <c r="K16" s="5">
        <f>IF(J16="","",J16+5)</f>
        <v/>
      </c>
      <c r="L16" s="4" t="n"/>
    </row>
    <row r="17">
      <c r="A17" s="4" t="inlineStr">
        <is>
          <t>Z20007</t>
        </is>
      </c>
      <c r="B17" s="4" t="inlineStr">
        <is>
          <t>孙佩珊</t>
        </is>
      </c>
      <c r="C17" s="4" t="inlineStr">
        <is>
          <t>S042</t>
        </is>
      </c>
      <c r="D17" s="4" t="inlineStr">
        <is>
          <t>厦门思明店</t>
        </is>
      </c>
      <c r="E17" s="4" t="inlineStr">
        <is>
          <t>冷藏取货</t>
        </is>
      </c>
      <c r="F17" s="4" t="inlineStr">
        <is>
          <t>已到期</t>
        </is>
      </c>
      <c r="G17" s="5" t="n">
        <v>45673</v>
      </c>
      <c r="H17" s="5" t="n">
        <v>46218</v>
      </c>
      <c r="I17" s="4" t="n"/>
      <c r="J17" s="5" t="n"/>
      <c r="K17" s="5">
        <f>IF(J17="","",J17+5)</f>
        <v/>
      </c>
      <c r="L17" s="4" t="n"/>
    </row>
    <row r="18">
      <c r="A18" s="4" t="inlineStr">
        <is>
          <t>Z20008</t>
        </is>
      </c>
      <c r="B18" s="4" t="inlineStr">
        <is>
          <t>马柏宇</t>
        </is>
      </c>
      <c r="C18" s="4" t="inlineStr">
        <is>
          <t>S042</t>
        </is>
      </c>
      <c r="D18" s="4" t="inlineStr">
        <is>
          <t>厦门思明店</t>
        </is>
      </c>
      <c r="E18" s="4" t="inlineStr">
        <is>
          <t>冷藏取货</t>
        </is>
      </c>
      <c r="F18" s="4" t="inlineStr">
        <is>
          <t>已到期</t>
        </is>
      </c>
      <c r="G18" s="5" t="n">
        <v>45827</v>
      </c>
      <c r="H18" s="5" t="n">
        <v>46218</v>
      </c>
      <c r="I18" s="4" t="n"/>
      <c r="J18" s="5" t="n"/>
      <c r="K18" s="5">
        <f>IF(J18="","",J18+5)</f>
        <v/>
      </c>
      <c r="L18" s="4" t="n"/>
    </row>
    <row r="19">
      <c r="A19" s="4" t="inlineStr">
        <is>
          <t>Z20009</t>
        </is>
      </c>
      <c r="B19" s="4" t="inlineStr">
        <is>
          <t>林雅筑</t>
        </is>
      </c>
      <c r="C19" s="4" t="inlineStr">
        <is>
          <t>S042</t>
        </is>
      </c>
      <c r="D19" s="4" t="inlineStr">
        <is>
          <t>厦门思明店</t>
        </is>
      </c>
      <c r="E19" s="4" t="inlineStr">
        <is>
          <t>冷藏取货</t>
        </is>
      </c>
      <c r="F19" s="4" t="inlineStr">
        <is>
          <t>有效</t>
        </is>
      </c>
      <c r="G19" s="5" t="n">
        <v>45811</v>
      </c>
      <c r="H19" s="5" t="n">
        <v>46541</v>
      </c>
      <c r="I19" s="4" t="n"/>
      <c r="J19" s="5" t="n"/>
      <c r="K19" s="5">
        <f>IF(J19="","",J19+5)</f>
        <v/>
      </c>
      <c r="L19" s="4" t="inlineStr">
        <is>
          <t>已结案：旧制授权转换</t>
        </is>
      </c>
    </row>
    <row r="20">
      <c r="A20" s="4" t="inlineStr">
        <is>
          <t>Z20010</t>
        </is>
      </c>
      <c r="B20" s="4" t="inlineStr">
        <is>
          <t>林雅筑</t>
        </is>
      </c>
      <c r="C20" s="4" t="inlineStr">
        <is>
          <t>S042</t>
        </is>
      </c>
      <c r="D20" s="4" t="inlineStr">
        <is>
          <t>厦门思明店</t>
        </is>
      </c>
      <c r="E20" s="4" t="inlineStr">
        <is>
          <t>冷藏取货</t>
        </is>
      </c>
      <c r="F20" s="4" t="inlineStr">
        <is>
          <t>培训报名中</t>
        </is>
      </c>
      <c r="G20" s="5" t="n"/>
      <c r="H20" s="5" t="n"/>
      <c r="I20" s="4" t="inlineStr">
        <is>
          <t>CT-2611-B</t>
        </is>
      </c>
      <c r="J20" s="5" t="n">
        <v>46335</v>
      </c>
      <c r="K20" s="5">
        <f>IF(J20="","",J20+5)</f>
        <v/>
      </c>
      <c r="L20" s="4" t="n"/>
    </row>
    <row r="21">
      <c r="A21" s="4" t="inlineStr">
        <is>
          <t>Z20011</t>
        </is>
      </c>
      <c r="B21" s="4" t="inlineStr">
        <is>
          <t>马柏宇</t>
        </is>
      </c>
      <c r="C21" s="4" t="inlineStr">
        <is>
          <t>S003</t>
        </is>
      </c>
      <c r="D21" s="4" t="inlineStr">
        <is>
          <t>上海徐汇店</t>
        </is>
      </c>
      <c r="E21" s="4" t="inlineStr">
        <is>
          <t>冷藏取货</t>
        </is>
      </c>
      <c r="F21" s="4" t="inlineStr">
        <is>
          <t>有效</t>
        </is>
      </c>
      <c r="G21" s="5" t="n">
        <v>45892</v>
      </c>
      <c r="H21" s="5" t="n">
        <v>46622</v>
      </c>
      <c r="I21" s="4" t="n"/>
      <c r="J21" s="5" t="n"/>
      <c r="K21" s="5">
        <f>IF(J21="","",J21+5)</f>
        <v/>
      </c>
      <c r="L21" s="4" t="n"/>
    </row>
    <row r="22">
      <c r="A22" s="4" t="inlineStr">
        <is>
          <t>Z20012</t>
        </is>
      </c>
      <c r="B22" s="4" t="inlineStr">
        <is>
          <t>陈雅筑</t>
        </is>
      </c>
      <c r="C22" s="4" t="inlineStr">
        <is>
          <t>S003</t>
        </is>
      </c>
      <c r="D22" s="4" t="inlineStr">
        <is>
          <t>上海徐汇店</t>
        </is>
      </c>
      <c r="E22" s="4" t="inlineStr">
        <is>
          <t>冷藏取货</t>
        </is>
      </c>
      <c r="F22" s="4" t="inlineStr">
        <is>
          <t>已到期</t>
        </is>
      </c>
      <c r="G22" s="5" t="n">
        <v>45754</v>
      </c>
      <c r="H22" s="5" t="n">
        <v>46218</v>
      </c>
      <c r="I22" s="4" t="n"/>
      <c r="J22" s="5" t="n"/>
      <c r="K22" s="5">
        <f>IF(J22="","",J22+5)</f>
        <v/>
      </c>
      <c r="L22" s="4" t="n"/>
    </row>
    <row r="23">
      <c r="A23" s="4" t="inlineStr">
        <is>
          <t>Z20013</t>
        </is>
      </c>
      <c r="B23" s="4" t="inlineStr">
        <is>
          <t>林雅筑</t>
        </is>
      </c>
      <c r="C23" s="4" t="inlineStr">
        <is>
          <t>S003</t>
        </is>
      </c>
      <c r="D23" s="4" t="inlineStr">
        <is>
          <t>上海徐汇店</t>
        </is>
      </c>
      <c r="E23" s="4" t="inlineStr">
        <is>
          <t>冷藏取货</t>
        </is>
      </c>
      <c r="F23" s="4" t="inlineStr">
        <is>
          <t>有效</t>
        </is>
      </c>
      <c r="G23" s="5" t="n">
        <v>45743</v>
      </c>
      <c r="H23" s="5" t="n">
        <v>46473</v>
      </c>
      <c r="I23" s="4" t="n"/>
      <c r="J23" s="5" t="n"/>
      <c r="K23" s="5">
        <f>IF(J23="","",J23+5)</f>
        <v/>
      </c>
      <c r="L23" s="4" t="n"/>
    </row>
    <row r="24">
      <c r="A24" s="4" t="inlineStr">
        <is>
          <t>Z20014</t>
        </is>
      </c>
      <c r="B24" s="4" t="inlineStr">
        <is>
          <t>胡佩珊</t>
        </is>
      </c>
      <c r="C24" s="4" t="inlineStr">
        <is>
          <t>S003</t>
        </is>
      </c>
      <c r="D24" s="4" t="inlineStr">
        <is>
          <t>上海徐汇店</t>
        </is>
      </c>
      <c r="E24" s="4" t="inlineStr">
        <is>
          <t>冷藏取货</t>
        </is>
      </c>
      <c r="F24" s="4" t="inlineStr">
        <is>
          <t>有效</t>
        </is>
      </c>
      <c r="G24" s="5" t="n">
        <v>45913</v>
      </c>
      <c r="H24" s="5" t="n">
        <v>46643</v>
      </c>
      <c r="I24" s="4" t="n"/>
      <c r="J24" s="5" t="n"/>
      <c r="K24" s="5">
        <f>IF(J24="","",J24+5)</f>
        <v/>
      </c>
      <c r="L24" s="4" t="n"/>
    </row>
    <row r="25">
      <c r="A25" s="4" t="inlineStr">
        <is>
          <t>Z20015</t>
        </is>
      </c>
      <c r="B25" s="4" t="inlineStr">
        <is>
          <t>孙柏宇</t>
        </is>
      </c>
      <c r="C25" s="4" t="inlineStr">
        <is>
          <t>S003</t>
        </is>
      </c>
      <c r="D25" s="4" t="inlineStr">
        <is>
          <t>上海徐汇店</t>
        </is>
      </c>
      <c r="E25" s="4" t="inlineStr">
        <is>
          <t>冷藏取货</t>
        </is>
      </c>
      <c r="F25" s="4" t="inlineStr">
        <is>
          <t>培训报名中</t>
        </is>
      </c>
      <c r="G25" s="5" t="n"/>
      <c r="H25" s="5" t="n"/>
      <c r="I25" s="4" t="inlineStr">
        <is>
          <t>CT-2611-B</t>
        </is>
      </c>
      <c r="J25" s="5" t="n">
        <v>46335</v>
      </c>
      <c r="K25" s="5">
        <f>IF(J25="","",J25+5)</f>
        <v/>
      </c>
      <c r="L25" s="4" t="n"/>
    </row>
    <row r="26">
      <c r="A26" s="4" t="inlineStr">
        <is>
          <t>Z20016</t>
        </is>
      </c>
      <c r="B26" s="4" t="inlineStr">
        <is>
          <t>林雅筑</t>
        </is>
      </c>
      <c r="C26" s="4" t="inlineStr">
        <is>
          <t>S011</t>
        </is>
      </c>
      <c r="D26" s="4" t="inlineStr">
        <is>
          <t>杭州西湖店</t>
        </is>
      </c>
      <c r="E26" s="4" t="inlineStr">
        <is>
          <t>冷藏取货</t>
        </is>
      </c>
      <c r="F26" s="4" t="inlineStr">
        <is>
          <t>有效</t>
        </is>
      </c>
      <c r="G26" s="5" t="n">
        <v>45802</v>
      </c>
      <c r="H26" s="5" t="n">
        <v>46532</v>
      </c>
      <c r="I26" s="4" t="n"/>
      <c r="J26" s="5" t="n"/>
      <c r="K26" s="5">
        <f>IF(J26="","",J26+5)</f>
        <v/>
      </c>
      <c r="L26" s="4" t="n"/>
    </row>
    <row r="27">
      <c r="A27" s="4" t="inlineStr">
        <is>
          <t>Z20017</t>
        </is>
      </c>
      <c r="B27" s="4" t="inlineStr">
        <is>
          <t>马宗宪</t>
        </is>
      </c>
      <c r="C27" s="4" t="inlineStr">
        <is>
          <t>S011</t>
        </is>
      </c>
      <c r="D27" s="4" t="inlineStr">
        <is>
          <t>杭州西湖店</t>
        </is>
      </c>
      <c r="E27" s="4" t="inlineStr">
        <is>
          <t>冷藏取货</t>
        </is>
      </c>
      <c r="F27" s="4" t="inlineStr">
        <is>
          <t>培训报名中</t>
        </is>
      </c>
      <c r="G27" s="5" t="n"/>
      <c r="H27" s="5" t="n"/>
      <c r="I27" s="4" t="inlineStr">
        <is>
          <t>CT-2611-B</t>
        </is>
      </c>
      <c r="J27" s="5" t="n">
        <v>46342</v>
      </c>
      <c r="K27" s="5">
        <f>IF(J27="","",J27+5)</f>
        <v/>
      </c>
      <c r="L27" s="4" t="n"/>
    </row>
    <row r="28">
      <c r="A28" s="4" t="inlineStr">
        <is>
          <t>Z20018</t>
        </is>
      </c>
      <c r="B28" s="4" t="inlineStr">
        <is>
          <t>郭雅筑</t>
        </is>
      </c>
      <c r="C28" s="4" t="inlineStr">
        <is>
          <t>S011</t>
        </is>
      </c>
      <c r="D28" s="4" t="inlineStr">
        <is>
          <t>杭州西湖店</t>
        </is>
      </c>
      <c r="E28" s="4" t="inlineStr">
        <is>
          <t>冷藏取货</t>
        </is>
      </c>
      <c r="F28" s="4" t="inlineStr">
        <is>
          <t>培训报名中</t>
        </is>
      </c>
      <c r="G28" s="5" t="n"/>
      <c r="H28" s="5" t="n"/>
      <c r="I28" s="4" t="inlineStr">
        <is>
          <t>CT-2611-B</t>
        </is>
      </c>
      <c r="J28" s="5" t="n">
        <v>46335</v>
      </c>
      <c r="K28" s="5">
        <f>IF(J28="","",J28+5)</f>
        <v/>
      </c>
      <c r="L28" s="4" t="inlineStr">
        <is>
          <t>已结案：旧制授权转换</t>
        </is>
      </c>
    </row>
    <row r="29">
      <c r="A29" s="4" t="inlineStr">
        <is>
          <t>Z20019</t>
        </is>
      </c>
      <c r="B29" s="4" t="inlineStr">
        <is>
          <t>郭佩珊</t>
        </is>
      </c>
      <c r="C29" s="4" t="inlineStr">
        <is>
          <t>S011</t>
        </is>
      </c>
      <c r="D29" s="4" t="inlineStr">
        <is>
          <t>杭州西湖店</t>
        </is>
      </c>
      <c r="E29" s="4" t="inlineStr">
        <is>
          <t>冷藏取货</t>
        </is>
      </c>
      <c r="F29" s="4" t="inlineStr">
        <is>
          <t>有效</t>
        </is>
      </c>
      <c r="G29" s="5" t="n">
        <v>45786</v>
      </c>
      <c r="H29" s="5" t="n">
        <v>46516</v>
      </c>
      <c r="I29" s="4" t="n"/>
      <c r="J29" s="5" t="n"/>
      <c r="K29" s="5">
        <f>IF(J29="","",J29+5)</f>
        <v/>
      </c>
      <c r="L29" s="4" t="n"/>
    </row>
    <row r="30">
      <c r="A30" s="4" t="inlineStr">
        <is>
          <t>Z20020</t>
        </is>
      </c>
      <c r="B30" s="4" t="inlineStr">
        <is>
          <t>黄佩珊</t>
        </is>
      </c>
      <c r="C30" s="4" t="inlineStr">
        <is>
          <t>S011</t>
        </is>
      </c>
      <c r="D30" s="4" t="inlineStr">
        <is>
          <t>杭州西湖店</t>
        </is>
      </c>
      <c r="E30" s="4" t="inlineStr">
        <is>
          <t>冷藏取货</t>
        </is>
      </c>
      <c r="F30" s="4" t="inlineStr">
        <is>
          <t>未授权</t>
        </is>
      </c>
      <c r="G30" s="5" t="n"/>
      <c r="H30" s="5" t="n"/>
      <c r="I30" s="4" t="n"/>
      <c r="J30" s="5" t="n"/>
      <c r="K30" s="5">
        <f>IF(J30="","",J30+5)</f>
        <v/>
      </c>
      <c r="L30" s="4" t="n"/>
    </row>
    <row r="31">
      <c r="A31" s="4" t="inlineStr">
        <is>
          <t>Z20021</t>
        </is>
      </c>
      <c r="B31" s="4" t="inlineStr">
        <is>
          <t>胡佩珊</t>
        </is>
      </c>
      <c r="C31" s="4" t="inlineStr">
        <is>
          <t>S019</t>
        </is>
      </c>
      <c r="D31" s="4" t="inlineStr">
        <is>
          <t>无锡新吴店</t>
        </is>
      </c>
      <c r="E31" s="4" t="inlineStr">
        <is>
          <t>冷藏取货</t>
        </is>
      </c>
      <c r="F31" s="4" t="inlineStr">
        <is>
          <t>有效</t>
        </is>
      </c>
      <c r="G31" s="5" t="n">
        <v>45692</v>
      </c>
      <c r="H31" s="5" t="n">
        <v>46422</v>
      </c>
      <c r="I31" s="4" t="n"/>
      <c r="J31" s="5" t="n"/>
      <c r="K31" s="5">
        <f>IF(J31="","",J31+5)</f>
        <v/>
      </c>
      <c r="L31" s="4" t="n"/>
    </row>
    <row r="32">
      <c r="A32" s="4" t="inlineStr">
        <is>
          <t>Z20022</t>
        </is>
      </c>
      <c r="B32" s="4" t="inlineStr">
        <is>
          <t>林佩珊</t>
        </is>
      </c>
      <c r="C32" s="4" t="inlineStr">
        <is>
          <t>S019</t>
        </is>
      </c>
      <c r="D32" s="4" t="inlineStr">
        <is>
          <t>无锡新吴店</t>
        </is>
      </c>
      <c r="E32" s="4" t="inlineStr">
        <is>
          <t>冷藏取货</t>
        </is>
      </c>
      <c r="F32" s="4" t="inlineStr">
        <is>
          <t>有效</t>
        </is>
      </c>
      <c r="G32" s="5" t="n">
        <v>45822</v>
      </c>
      <c r="H32" s="5" t="n">
        <v>46552</v>
      </c>
      <c r="I32" s="4" t="n"/>
      <c r="J32" s="5" t="n"/>
      <c r="K32" s="5">
        <f>IF(J32="","",J32+5)</f>
        <v/>
      </c>
      <c r="L32" s="4" t="n"/>
    </row>
    <row r="33">
      <c r="A33" s="4" t="inlineStr">
        <is>
          <t>Z20023</t>
        </is>
      </c>
      <c r="B33" s="4" t="inlineStr">
        <is>
          <t>林柏宇</t>
        </is>
      </c>
      <c r="C33" s="4" t="inlineStr">
        <is>
          <t>S019</t>
        </is>
      </c>
      <c r="D33" s="4" t="inlineStr">
        <is>
          <t>无锡新吴店</t>
        </is>
      </c>
      <c r="E33" s="4" t="inlineStr">
        <is>
          <t>冷藏取货</t>
        </is>
      </c>
      <c r="F33" s="4" t="inlineStr">
        <is>
          <t>有效</t>
        </is>
      </c>
      <c r="G33" s="5" t="n">
        <v>45818</v>
      </c>
      <c r="H33" s="5" t="n">
        <v>46548</v>
      </c>
      <c r="I33" s="4" t="n"/>
      <c r="J33" s="5" t="n"/>
      <c r="K33" s="5">
        <f>IF(J33="","",J33+5)</f>
        <v/>
      </c>
      <c r="L33" s="4" t="n"/>
    </row>
    <row r="34">
      <c r="A34" s="4" t="inlineStr">
        <is>
          <t>Z20024</t>
        </is>
      </c>
      <c r="B34" s="4" t="inlineStr">
        <is>
          <t>陈雅筑</t>
        </is>
      </c>
      <c r="C34" s="4" t="inlineStr">
        <is>
          <t>S019</t>
        </is>
      </c>
      <c r="D34" s="4" t="inlineStr">
        <is>
          <t>无锡新吴店</t>
        </is>
      </c>
      <c r="E34" s="4" t="inlineStr">
        <is>
          <t>冷藏取货</t>
        </is>
      </c>
      <c r="F34" s="4" t="inlineStr">
        <is>
          <t>未授权</t>
        </is>
      </c>
      <c r="G34" s="5" t="n"/>
      <c r="H34" s="5" t="n"/>
      <c r="I34" s="4" t="n"/>
      <c r="J34" s="5" t="n"/>
      <c r="K34" s="5">
        <f>IF(J34="","",J34+5)</f>
        <v/>
      </c>
      <c r="L34" s="4" t="n"/>
    </row>
    <row r="35">
      <c r="A35" s="4" t="inlineStr">
        <is>
          <t>Z20025</t>
        </is>
      </c>
      <c r="B35" s="4" t="inlineStr">
        <is>
          <t>孙承恩</t>
        </is>
      </c>
      <c r="C35" s="4" t="inlineStr">
        <is>
          <t>S019</t>
        </is>
      </c>
      <c r="D35" s="4" t="inlineStr">
        <is>
          <t>无锡新吴店</t>
        </is>
      </c>
      <c r="E35" s="4" t="inlineStr">
        <is>
          <t>冷藏取货</t>
        </is>
      </c>
      <c r="F35" s="4" t="inlineStr">
        <is>
          <t>培训报名中</t>
        </is>
      </c>
      <c r="G35" s="5" t="n"/>
      <c r="H35" s="5" t="n"/>
      <c r="I35" s="4" t="inlineStr">
        <is>
          <t>CT-2611-B</t>
        </is>
      </c>
      <c r="J35" s="5" t="n">
        <v>46335</v>
      </c>
      <c r="K35" s="5">
        <f>IF(J35="","",J35+5)</f>
        <v/>
      </c>
      <c r="L35" s="4" t="n"/>
    </row>
  </sheetData>
  <autoFilter ref="A4:L35"/>
  <conditionalFormatting sqref="F5:F35">
    <cfRule type="expression" priority="1" dxfId="0">
      <formula>$F5="已到期"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冷藏取货授权培训批次</t>
        </is>
      </c>
    </row>
    <row r="3" ht="30" customHeight="1">
      <c r="A3" s="3" t="inlineStr">
        <is>
          <t>批次</t>
        </is>
      </c>
      <c r="B3" s="3" t="inlineStr">
        <is>
          <t>开始日</t>
        </is>
      </c>
      <c r="C3" s="3" t="inlineStr">
        <is>
          <t>培训天数</t>
        </is>
      </c>
      <c r="D3" s="3" t="inlineStr">
        <is>
          <t>最早可授权日</t>
        </is>
      </c>
      <c r="E3" s="3" t="inlineStr">
        <is>
          <t>名额</t>
        </is>
      </c>
      <c r="F3" s="3" t="inlineStr">
        <is>
          <t>已报名</t>
        </is>
      </c>
      <c r="G3" s="3" t="inlineStr">
        <is>
          <t>状态</t>
        </is>
      </c>
    </row>
    <row r="4">
      <c r="A4" s="4" t="inlineStr">
        <is>
          <t>CT-2611-A</t>
        </is>
      </c>
      <c r="B4" s="5" t="n">
        <v>46330</v>
      </c>
      <c r="C4" s="4" t="n">
        <v>5</v>
      </c>
      <c r="D4" s="5">
        <f>B4+C4</f>
        <v/>
      </c>
      <c r="E4" s="4" t="n">
        <v>8</v>
      </c>
      <c r="F4" s="4" t="n">
        <v>6</v>
      </c>
      <c r="G4" s="4" t="inlineStr">
        <is>
          <t>开放报名</t>
        </is>
      </c>
    </row>
    <row r="5">
      <c r="A5" s="4" t="inlineStr">
        <is>
          <t>CT-2611-B</t>
        </is>
      </c>
      <c r="B5" s="5" t="n">
        <v>46335</v>
      </c>
      <c r="C5" s="4" t="n">
        <v>5</v>
      </c>
      <c r="D5" s="5">
        <f>B5+C5</f>
        <v/>
      </c>
      <c r="E5" s="4" t="n">
        <v>8</v>
      </c>
      <c r="F5" s="4" t="n">
        <v>7</v>
      </c>
      <c r="G5" s="4" t="inlineStr">
        <is>
          <t>开放报名</t>
        </is>
      </c>
    </row>
    <row r="6">
      <c r="A6" s="4" t="inlineStr">
        <is>
          <t>CT-2611-C</t>
        </is>
      </c>
      <c r="B6" s="5" t="n">
        <v>46342</v>
      </c>
      <c r="C6" s="4" t="n">
        <v>5</v>
      </c>
      <c r="D6" s="5">
        <f>B6+C6</f>
        <v/>
      </c>
      <c r="E6" s="4" t="n">
        <v>8</v>
      </c>
      <c r="F6" s="4" t="n">
        <v>3</v>
      </c>
      <c r="G6" s="4" t="inlineStr">
        <is>
          <t>开放报名</t>
        </is>
      </c>
    </row>
    <row r="7">
      <c r="A7" s="4" t="inlineStr">
        <is>
          <t>CT-2610-Z</t>
        </is>
      </c>
      <c r="B7" s="5" t="n">
        <v>46314</v>
      </c>
      <c r="C7" s="4" t="n">
        <v>5</v>
      </c>
      <c r="D7" s="5">
        <f>B7+C7</f>
        <v/>
      </c>
      <c r="E7" s="4" t="n">
        <v>8</v>
      </c>
      <c r="F7" s="4" t="n">
        <v>8</v>
      </c>
      <c r="G7" s="4" t="inlineStr">
        <is>
          <t>已结训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2026-10-15T19:11:43Z</dcterms:created>
  <dcterms:modified xmlns:dcterms="http://purl.org/dc/terms/" xmlns:xsi="http://www.w3.org/2001/XMLSchema-instance" xsi:type="dcterms:W3CDTF">2026-10-15T19:11:44Z</dcterms:modified>
</cp:coreProperties>
</file>