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 Parameters" sheetId="1" state="visible" r:id="rId1"/>
    <sheet xmlns:r="http://schemas.openxmlformats.org/officeDocument/2006/relationships" name="Margin Calculator" sheetId="2" state="visible" r:id="rId2"/>
    <sheet xmlns:r="http://schemas.openxmlformats.org/officeDocument/2006/relationships" name="Revis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+0.0;-0.0;0.0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vertical="top" wrapText="1"/>
    </xf>
    <xf numFmtId="9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C83E3E"/>
      </font>
      <fill>
        <patternFill patternType="solid">
          <bgColor rgb="00F6CFCF"/>
        </patternFill>
      </fill>
    </dxf>
    <dxf>
      <fill>
        <patternFill patternType="solid">
          <bgColor rgb="00D5E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6" customWidth="1" min="4" max="4"/>
    <col width="34" customWidth="1" min="5" max="5"/>
  </cols>
  <sheetData>
    <row r="1">
      <c r="A1" s="1" t="inlineStr">
        <is>
          <t>Zava Retail  Channel Margin Floor</t>
        </is>
      </c>
    </row>
    <row r="2">
      <c r="A2" s="2" t="inlineStr">
        <is>
          <t>Doc. TBL-PRC-2026-03  v2.1  Effective 2026-07-01  Owner: Pricing Governance</t>
        </is>
      </c>
    </row>
    <row r="4" ht="30" customHeight="1">
      <c r="A4" s="3" t="inlineStr">
        <is>
          <t>Parameter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Standard price</t>
        </is>
      </c>
      <c r="B5" s="5" t="n">
        <v>1000</v>
      </c>
      <c r="C5" s="6" t="inlineStr">
        <is>
          <t>Anniversary Hero Bundle; same in all channels</t>
        </is>
      </c>
    </row>
    <row r="6">
      <c r="A6" s="4" t="inlineStr">
        <is>
          <t>Unit cost</t>
        </is>
      </c>
      <c r="B6" s="5" t="n">
        <v>640</v>
      </c>
      <c r="C6" s="6" t="inlineStr">
        <is>
          <t>Standard cost</t>
        </is>
      </c>
    </row>
    <row r="7">
      <c r="A7" s="4" t="inlineStr">
        <is>
          <t>Margin floor</t>
        </is>
      </c>
      <c r="B7" s="7" t="n">
        <v>0.18</v>
      </c>
      <c r="C7" s="6" t="inlineStr">
        <is>
          <t>On selling price; POL-PRC-2026-03 section 3</t>
        </is>
      </c>
    </row>
    <row r="10" ht="30" customHeight="1">
      <c r="A10" s="3" t="inlineStr">
        <is>
          <t>Channel</t>
        </is>
      </c>
      <c r="B10" s="3" t="inlineStr">
        <is>
          <t>Code</t>
        </is>
      </c>
      <c r="C10" s="3" t="inlineStr">
        <is>
          <t>Margin floor</t>
        </is>
      </c>
      <c r="D10" s="3" t="inlineStr">
        <is>
          <t>Routine discount cap</t>
        </is>
      </c>
      <c r="E10" s="3" t="inlineStr">
        <is>
          <t>Channel description</t>
        </is>
      </c>
    </row>
    <row r="11">
      <c r="A11" s="4" t="inlineStr">
        <is>
          <t>Online</t>
        </is>
      </c>
      <c r="B11" s="4" t="inlineStr">
        <is>
          <t>WEB</t>
        </is>
      </c>
      <c r="C11" s="7">
        <f>$B$7</f>
        <v/>
      </c>
      <c r="D11" s="7" t="n">
        <v>0.15</v>
      </c>
      <c r="E11" s="4" t="inlineStr">
        <is>
          <t>Zava online store</t>
        </is>
      </c>
    </row>
    <row r="12">
      <c r="A12" s="4" t="inlineStr">
        <is>
          <t>Store</t>
        </is>
      </c>
      <c r="B12" s="4" t="inlineStr">
        <is>
          <t>STR</t>
        </is>
      </c>
      <c r="C12" s="7">
        <f>$B$7</f>
        <v/>
      </c>
      <c r="D12" s="7" t="n">
        <v>0.15</v>
      </c>
      <c r="E12" s="4" t="inlineStr">
        <is>
          <t>Company-operated stores</t>
        </is>
      </c>
    </row>
    <row r="13">
      <c r="A13" s="4" t="inlineStr">
        <is>
          <t>Franchise</t>
        </is>
      </c>
      <c r="B13" s="4" t="inlineStr">
        <is>
          <t>FRN</t>
        </is>
      </c>
      <c r="C13" s="7">
        <f>$B$7</f>
        <v/>
      </c>
      <c r="D13" s="7" t="n">
        <v>0.15</v>
      </c>
      <c r="E13" s="4" t="inlineStr">
        <is>
          <t>Franchise stores</t>
        </is>
      </c>
    </row>
    <row r="15">
      <c r="A15" s="2" t="inlineStr">
        <is>
          <t>Note: discounts above the routine cap must be registered in the Discount Exception Log. Whether a supplier subsidy applies is determined by each agreement; this table assumes none.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0" customWidth="1" min="5" max="5"/>
    <col width="10" customWidth="1" min="6" max="6"/>
    <col width="14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Margin Calculator</t>
        </is>
      </c>
    </row>
    <row r="2">
      <c r="A2" s="2" t="inlineStr">
        <is>
          <t>Enter channel, discount rate and subsidy (per the subsidy agreement); other columns calculate automatically</t>
        </is>
      </c>
    </row>
    <row r="4" ht="30" customHeight="1">
      <c r="A4" s="3" t="inlineStr">
        <is>
          <t>Exception ID</t>
        </is>
      </c>
      <c r="B4" s="3" t="inlineStr">
        <is>
          <t>Channel</t>
        </is>
      </c>
      <c r="C4" s="3" t="inlineStr">
        <is>
          <t>Discount</t>
        </is>
      </c>
      <c r="D4" s="3" t="inlineStr">
        <is>
          <t>Std price</t>
        </is>
      </c>
      <c r="E4" s="3" t="inlineStr">
        <is>
          <t>Net price</t>
        </is>
      </c>
      <c r="F4" s="3" t="inlineStr">
        <is>
          <t>Unit cost</t>
        </is>
      </c>
      <c r="G4" s="3" t="inlineStr">
        <is>
          <t>Subsidy (per unit)</t>
        </is>
      </c>
      <c r="H4" s="3" t="inlineStr">
        <is>
          <t>Margin amount</t>
        </is>
      </c>
      <c r="I4" s="3" t="inlineStr">
        <is>
          <t>Gross margin</t>
        </is>
      </c>
      <c r="J4" s="3" t="inlineStr">
        <is>
          <t>Floor</t>
        </is>
      </c>
      <c r="K4" s="3" t="inlineStr">
        <is>
          <t>Gap (pt)</t>
        </is>
      </c>
      <c r="L4" s="3" t="inlineStr">
        <is>
          <t>Result</t>
        </is>
      </c>
    </row>
    <row r="5">
      <c r="A5" s="4" t="n"/>
      <c r="B5" s="4" t="n"/>
      <c r="C5" s="7" t="n"/>
      <c r="D5" s="5">
        <f>IF(C5="","",'Floor Parameters'!$B$5)</f>
        <v/>
      </c>
      <c r="E5" s="8">
        <f>IF(C5="","",D5*(1-C5))</f>
        <v/>
      </c>
      <c r="F5" s="5">
        <f>IF(C5="","",'Floor Parameters'!$B$6)</f>
        <v/>
      </c>
      <c r="G5" s="5" t="n"/>
      <c r="H5" s="8">
        <f>IF(C5="","",E5-F5+N(G5))</f>
        <v/>
      </c>
      <c r="I5" s="9">
        <f>IF(C5="","",H5/E5)</f>
        <v/>
      </c>
      <c r="J5" s="7">
        <f>IF(C5="","",'Floor Parameters'!$B$7)</f>
        <v/>
      </c>
      <c r="K5" s="10">
        <f>IF(C5="","",(I5-J5)*100)</f>
        <v/>
      </c>
      <c r="L5" s="4">
        <f>IF(C5="","",IF(I5&gt;=J5,"Compliant","Breach"))</f>
        <v/>
      </c>
    </row>
    <row r="6">
      <c r="A6" s="4" t="n"/>
      <c r="B6" s="4" t="n"/>
      <c r="C6" s="7" t="n"/>
      <c r="D6" s="5">
        <f>IF(C6="","",'Floor Parameters'!$B$5)</f>
        <v/>
      </c>
      <c r="E6" s="8">
        <f>IF(C6="","",D6*(1-C6))</f>
        <v/>
      </c>
      <c r="F6" s="5">
        <f>IF(C6="","",'Floor Parameters'!$B$6)</f>
        <v/>
      </c>
      <c r="G6" s="5" t="n"/>
      <c r="H6" s="8">
        <f>IF(C6="","",E6-F6+N(G6))</f>
        <v/>
      </c>
      <c r="I6" s="9">
        <f>IF(C6="","",H6/E6)</f>
        <v/>
      </c>
      <c r="J6" s="7">
        <f>IF(C6="","",'Floor Parameters'!$B$7)</f>
        <v/>
      </c>
      <c r="K6" s="10">
        <f>IF(C6="","",(I6-J6)*100)</f>
        <v/>
      </c>
      <c r="L6" s="4">
        <f>IF(C6="","",IF(I6&gt;=J6,"Compliant","Breach"))</f>
        <v/>
      </c>
    </row>
    <row r="7">
      <c r="A7" s="4" t="n"/>
      <c r="B7" s="4" t="n"/>
      <c r="C7" s="7" t="n"/>
      <c r="D7" s="5">
        <f>IF(C7="","",'Floor Parameters'!$B$5)</f>
        <v/>
      </c>
      <c r="E7" s="8">
        <f>IF(C7="","",D7*(1-C7))</f>
        <v/>
      </c>
      <c r="F7" s="5">
        <f>IF(C7="","",'Floor Parameters'!$B$6)</f>
        <v/>
      </c>
      <c r="G7" s="5" t="n"/>
      <c r="H7" s="8">
        <f>IF(C7="","",E7-F7+N(G7))</f>
        <v/>
      </c>
      <c r="I7" s="9">
        <f>IF(C7="","",H7/E7)</f>
        <v/>
      </c>
      <c r="J7" s="7">
        <f>IF(C7="","",'Floor Parameters'!$B$7)</f>
        <v/>
      </c>
      <c r="K7" s="10">
        <f>IF(C7="","",(I7-J7)*100)</f>
        <v/>
      </c>
      <c r="L7" s="4">
        <f>IF(C7="","",IF(I7&gt;=J7,"Compliant","Breach"))</f>
        <v/>
      </c>
    </row>
    <row r="8">
      <c r="A8" s="4" t="n"/>
      <c r="B8" s="4" t="n"/>
      <c r="C8" s="7" t="n"/>
      <c r="D8" s="5">
        <f>IF(C8="","",'Floor Parameters'!$B$5)</f>
        <v/>
      </c>
      <c r="E8" s="8">
        <f>IF(C8="","",D8*(1-C8))</f>
        <v/>
      </c>
      <c r="F8" s="5">
        <f>IF(C8="","",'Floor Parameters'!$B$6)</f>
        <v/>
      </c>
      <c r="G8" s="5" t="n"/>
      <c r="H8" s="8">
        <f>IF(C8="","",E8-F8+N(G8))</f>
        <v/>
      </c>
      <c r="I8" s="9">
        <f>IF(C8="","",H8/E8)</f>
        <v/>
      </c>
      <c r="J8" s="7">
        <f>IF(C8="","",'Floor Parameters'!$B$7)</f>
        <v/>
      </c>
      <c r="K8" s="10">
        <f>IF(C8="","",(I8-J8)*100)</f>
        <v/>
      </c>
      <c r="L8" s="4">
        <f>IF(C8="","",IF(I8&gt;=J8,"Compliant","Breach"))</f>
        <v/>
      </c>
    </row>
    <row r="9">
      <c r="A9" s="4" t="n"/>
      <c r="B9" s="4" t="n"/>
      <c r="C9" s="7" t="n"/>
      <c r="D9" s="5">
        <f>IF(C9="","",'Floor Parameters'!$B$5)</f>
        <v/>
      </c>
      <c r="E9" s="8">
        <f>IF(C9="","",D9*(1-C9))</f>
        <v/>
      </c>
      <c r="F9" s="5">
        <f>IF(C9="","",'Floor Parameters'!$B$6)</f>
        <v/>
      </c>
      <c r="G9" s="5" t="n"/>
      <c r="H9" s="8">
        <f>IF(C9="","",E9-F9+N(G9))</f>
        <v/>
      </c>
      <c r="I9" s="9">
        <f>IF(C9="","",H9/E9)</f>
        <v/>
      </c>
      <c r="J9" s="7">
        <f>IF(C9="","",'Floor Parameters'!$B$7)</f>
        <v/>
      </c>
      <c r="K9" s="10">
        <f>IF(C9="","",(I9-J9)*100)</f>
        <v/>
      </c>
      <c r="L9" s="4">
        <f>IF(C9="","",IF(I9&gt;=J9,"Compliant","Breach"))</f>
        <v/>
      </c>
    </row>
    <row r="10">
      <c r="A10" s="4" t="n"/>
      <c r="B10" s="4" t="n"/>
      <c r="C10" s="7" t="n"/>
      <c r="D10" s="5">
        <f>IF(C10="","",'Floor Parameters'!$B$5)</f>
        <v/>
      </c>
      <c r="E10" s="8">
        <f>IF(C10="","",D10*(1-C10))</f>
        <v/>
      </c>
      <c r="F10" s="5">
        <f>IF(C10="","",'Floor Parameters'!$B$6)</f>
        <v/>
      </c>
      <c r="G10" s="5" t="n"/>
      <c r="H10" s="8">
        <f>IF(C10="","",E10-F10+N(G10))</f>
        <v/>
      </c>
      <c r="I10" s="9">
        <f>IF(C10="","",H10/E10)</f>
        <v/>
      </c>
      <c r="J10" s="7">
        <f>IF(C10="","",'Floor Parameters'!$B$7)</f>
        <v/>
      </c>
      <c r="K10" s="10">
        <f>IF(C10="","",(I10-J10)*100)</f>
        <v/>
      </c>
      <c r="L10" s="4">
        <f>IF(C10="","",IF(I10&gt;=J10,"Compliant","Breach"))</f>
        <v/>
      </c>
    </row>
    <row r="11">
      <c r="A11" s="4" t="n"/>
      <c r="B11" s="4" t="n"/>
      <c r="C11" s="7" t="n"/>
      <c r="D11" s="5">
        <f>IF(C11="","",'Floor Parameters'!$B$5)</f>
        <v/>
      </c>
      <c r="E11" s="8">
        <f>IF(C11="","",D11*(1-C11))</f>
        <v/>
      </c>
      <c r="F11" s="5">
        <f>IF(C11="","",'Floor Parameters'!$B$6)</f>
        <v/>
      </c>
      <c r="G11" s="5" t="n"/>
      <c r="H11" s="8">
        <f>IF(C11="","",E11-F11+N(G11))</f>
        <v/>
      </c>
      <c r="I11" s="9">
        <f>IF(C11="","",H11/E11)</f>
        <v/>
      </c>
      <c r="J11" s="7">
        <f>IF(C11="","",'Floor Parameters'!$B$7)</f>
        <v/>
      </c>
      <c r="K11" s="10">
        <f>IF(C11="","",(I11-J11)*100)</f>
        <v/>
      </c>
      <c r="L11" s="4">
        <f>IF(C11="","",IF(I11&gt;=J11,"Compliant","Breach"))</f>
        <v/>
      </c>
    </row>
    <row r="12">
      <c r="A12" s="4" t="n"/>
      <c r="B12" s="4" t="n"/>
      <c r="C12" s="7" t="n"/>
      <c r="D12" s="5">
        <f>IF(C12="","",'Floor Parameters'!$B$5)</f>
        <v/>
      </c>
      <c r="E12" s="8">
        <f>IF(C12="","",D12*(1-C12))</f>
        <v/>
      </c>
      <c r="F12" s="5">
        <f>IF(C12="","",'Floor Parameters'!$B$6)</f>
        <v/>
      </c>
      <c r="G12" s="5" t="n"/>
      <c r="H12" s="8">
        <f>IF(C12="","",E12-F12+N(G12))</f>
        <v/>
      </c>
      <c r="I12" s="9">
        <f>IF(C12="","",H12/E12)</f>
        <v/>
      </c>
      <c r="J12" s="7">
        <f>IF(C12="","",'Floor Parameters'!$B$7)</f>
        <v/>
      </c>
      <c r="K12" s="10">
        <f>IF(C12="","",(I12-J12)*100)</f>
        <v/>
      </c>
      <c r="L12" s="4">
        <f>IF(C12="","",IF(I12&gt;=J12,"Compliant","Breach"))</f>
        <v/>
      </c>
    </row>
  </sheetData>
  <conditionalFormatting sqref="L5:L12">
    <cfRule type="cellIs" priority="1" operator="equal" dxfId="0">
      <formula>"Breach"</formula>
    </cfRule>
    <cfRule type="cellIs" priority="2" operator="equal" dxfId="1">
      <formula>"Compliant"</formula>
    </cfRule>
  </conditionalFormatting>
  <dataValidations count="1">
    <dataValidation sqref="B5:B12" showDropDown="0" showInputMessage="0" showErrorMessage="0" allowBlank="1" type="list">
      <formula1>"Online,Store,Franchise"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36" customWidth="1" min="4" max="4"/>
  </cols>
  <sheetData>
    <row r="1">
      <c r="A1" s="1" t="inlineStr">
        <is>
          <t>Revision Log</t>
        </is>
      </c>
    </row>
    <row r="3" ht="30" customHeight="1">
      <c r="A3" s="3" t="inlineStr">
        <is>
          <t>Version</t>
        </is>
      </c>
      <c r="B3" s="3" t="inlineStr">
        <is>
          <t>Effective</t>
        </is>
      </c>
      <c r="C3" s="3" t="inlineStr">
        <is>
          <t>Margin floor</t>
        </is>
      </c>
      <c r="D3" s="3" t="inlineStr">
        <is>
          <t>Description</t>
        </is>
      </c>
    </row>
    <row r="4">
      <c r="A4" s="4" t="inlineStr">
        <is>
          <t>v2.1</t>
        </is>
      </c>
      <c r="B4" s="4" t="inlineStr">
        <is>
          <t>2026-07-01</t>
        </is>
      </c>
      <c r="C4" s="7" t="n">
        <v>0.18</v>
      </c>
      <c r="D4" s="4" t="inlineStr">
        <is>
          <t>Current version</t>
        </is>
      </c>
    </row>
    <row r="5">
      <c r="A5" s="4" t="inlineStr">
        <is>
          <t>v2.0</t>
        </is>
      </c>
      <c r="B5" s="4" t="inlineStr">
        <is>
          <t>2025-07-01</t>
        </is>
      </c>
      <c r="C5" s="7" t="n">
        <v>0.16</v>
      </c>
      <c r="D5" s="4" t="inlineStr">
        <is>
          <t>Superseded; franchise channel added</t>
        </is>
      </c>
    </row>
    <row r="6">
      <c r="A6" s="4" t="inlineStr">
        <is>
          <t>v1.0</t>
        </is>
      </c>
      <c r="B6" s="4" t="inlineStr">
        <is>
          <t>2024-07-01</t>
        </is>
      </c>
      <c r="C6" s="7" t="n">
        <v>0.15</v>
      </c>
      <c r="D6" s="4" t="inlineStr">
        <is>
          <t>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2026-10-15T19:17:10Z</dcterms:created>
  <dcterms:modified xmlns:dcterms="http://purl.org/dc/terms/" xmlns:xsi="http://www.w3.org/2001/XMLSchema-instance" xsi:type="dcterms:W3CDTF">2026-10-15T19:17:10Z</dcterms:modified>
</cp:coreProperties>
</file>