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aseline Week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+0.0%;-0.0%;0.0%"/>
    <numFmt numFmtId="167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5F6B7A"/>
      <sz val="9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9" fontId="4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CE7B2"/>
        </patternFill>
      </fill>
    </dxf>
    <dxf>
      <font>
        <b val="1"/>
        <color rgb="00C83E3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20" customWidth="1" min="5" max="5"/>
    <col width="11" customWidth="1" min="6" max="6"/>
    <col width="10" customWidth="1" min="7" max="7"/>
    <col width="11" customWidth="1" min="8" max="8"/>
    <col width="48" customWidth="1" min="9" max="9"/>
  </cols>
  <sheetData>
    <row r="1">
      <c r="A1" s="1" t="inlineStr">
        <is>
          <t>Zava Retail  Zava Mid-Autumn Sale  Weekly Sales</t>
        </is>
      </c>
    </row>
    <row r="2">
      <c r="A2" s="2" t="inlineStr">
        <is>
          <t>Doc. RPT-WK-2026-41  Data cut-off: 2026-10-12  Source: POS / BI weekly rollup  Owner: Regional Operations - Operations Analytics</t>
        </is>
      </c>
    </row>
    <row r="4" ht="30" customHeight="1">
      <c r="A4" s="3" t="inlineStr">
        <is>
          <t>Week</t>
        </is>
      </c>
      <c r="B4" s="3" t="inlineStr">
        <is>
          <t>Start</t>
        </is>
      </c>
      <c r="C4" s="3" t="inlineStr">
        <is>
          <t>End</t>
        </is>
      </c>
      <c r="D4" s="3" t="inlineStr">
        <is>
          <t>Period type</t>
        </is>
      </c>
      <c r="E4" s="3" t="inlineStr">
        <is>
          <t>Sales index (base=100)</t>
        </is>
      </c>
      <c r="F4" s="3" t="inlineStr">
        <is>
          <t>vs base</t>
        </is>
      </c>
      <c r="G4" s="3" t="inlineStr">
        <is>
          <t>Gross margin</t>
        </is>
      </c>
      <c r="H4" s="3" t="inlineStr">
        <is>
          <t>Margin index</t>
        </is>
      </c>
      <c r="I4" s="3" t="inlineStr">
        <is>
          <t>Remarks</t>
        </is>
      </c>
    </row>
    <row r="5">
      <c r="A5" s="4" t="inlineStr">
        <is>
          <t>Baseline</t>
        </is>
      </c>
      <c r="B5" s="5" t="n"/>
      <c r="C5" s="5" t="n"/>
      <c r="D5" s="4" t="inlineStr">
        <is>
          <t>Baseline</t>
        </is>
      </c>
      <c r="E5" s="6" t="n">
        <v>100</v>
      </c>
      <c r="F5" s="7">
        <f>E5/$E$5-1</f>
        <v/>
      </c>
      <c r="G5" s="8" t="n">
        <v>0.28</v>
      </c>
      <c r="H5" s="9">
        <f>E5*G5</f>
        <v/>
      </c>
      <c r="I5" s="10" t="inlineStr">
        <is>
          <t>Average of the four weeks before the sale (8/10-9/6); see Baseline Weeks</t>
        </is>
      </c>
    </row>
    <row r="6">
      <c r="A6" s="4" t="inlineStr">
        <is>
          <t>W1</t>
        </is>
      </c>
      <c r="B6" s="5" t="n">
        <v>46272</v>
      </c>
      <c r="C6" s="5" t="n">
        <v>46278</v>
      </c>
      <c r="D6" s="4" t="inlineStr">
        <is>
          <t>Pre-sale</t>
        </is>
      </c>
      <c r="E6" s="6" t="n">
        <v>95</v>
      </c>
      <c r="F6" s="7">
        <f>E6/$E$5-1</f>
        <v/>
      </c>
      <c r="G6" s="8" t="n">
        <v>0.28</v>
      </c>
      <c r="H6" s="9">
        <f>E6*G6</f>
        <v/>
      </c>
      <c r="I6" s="10" t="inlineStr"/>
    </row>
    <row r="7">
      <c r="A7" s="4" t="inlineStr">
        <is>
          <t>W2</t>
        </is>
      </c>
      <c r="B7" s="5" t="n">
        <v>46279</v>
      </c>
      <c r="C7" s="5" t="n">
        <v>46285</v>
      </c>
      <c r="D7" s="4" t="inlineStr">
        <is>
          <t>Pre-sale</t>
        </is>
      </c>
      <c r="E7" s="6" t="n">
        <v>94</v>
      </c>
      <c r="F7" s="7">
        <f>E7/$E$5-1</f>
        <v/>
      </c>
      <c r="G7" s="8" t="n">
        <v>0.28</v>
      </c>
      <c r="H7" s="9">
        <f>E7*G7</f>
        <v/>
      </c>
      <c r="I7" s="10" t="inlineStr"/>
    </row>
    <row r="8">
      <c r="A8" s="4" t="inlineStr">
        <is>
          <t>W3</t>
        </is>
      </c>
      <c r="B8" s="5" t="n">
        <v>46286</v>
      </c>
      <c r="C8" s="5" t="n">
        <v>46292</v>
      </c>
      <c r="D8" s="4" t="inlineStr">
        <is>
          <t>Sale week</t>
        </is>
      </c>
      <c r="E8" s="6" t="n">
        <v>138</v>
      </c>
      <c r="F8" s="7">
        <f>E8/$E$5-1</f>
        <v/>
      </c>
      <c r="G8" s="8" t="n">
        <v>0.21</v>
      </c>
      <c r="H8" s="9">
        <f>E8*G8</f>
        <v/>
      </c>
      <c r="I8" s="10" t="inlineStr">
        <is>
          <t>Zava Mid-Autumn Sale sale week; spend-and-save promo + festive gift sets</t>
        </is>
      </c>
    </row>
    <row r="9">
      <c r="A9" s="4" t="inlineStr">
        <is>
          <t>W4</t>
        </is>
      </c>
      <c r="B9" s="5" t="n">
        <v>46293</v>
      </c>
      <c r="C9" s="5" t="n">
        <v>46299</v>
      </c>
      <c r="D9" s="4" t="inlineStr">
        <is>
          <t>Post-sale</t>
        </is>
      </c>
      <c r="E9" s="6" t="n">
        <v>97</v>
      </c>
      <c r="F9" s="7">
        <f>E9/$E$5-1</f>
        <v/>
      </c>
      <c r="G9" s="8" t="n">
        <v>0.28</v>
      </c>
      <c r="H9" s="9">
        <f>E9*G9</f>
        <v/>
      </c>
      <c r="I9" s="10" t="inlineStr">
        <is>
          <t>2 franchise stores' POS data back-filled</t>
        </is>
      </c>
    </row>
    <row r="11">
      <c r="A11" s="11" t="inlineStr">
        <is>
          <t>Notes:</t>
        </is>
      </c>
    </row>
    <row r="12">
      <c r="A12" s="2" t="inlineStr">
        <is>
          <t>1. Sales index = weekly all-channel sales / baseline weekly average x 100.</t>
        </is>
      </c>
    </row>
    <row r="13">
      <c r="A13" s="2" t="inlineStr">
        <is>
          <t>2. Gross margin = weekly gross profit / weekly sales, after promotional discounts.</t>
        </is>
      </c>
    </row>
    <row r="14">
      <c r="A14" s="2" t="inlineStr">
        <is>
          <t>3. Margin index = sales index x gross margin; for week-to-week comparison only.</t>
        </is>
      </c>
    </row>
    <row r="15">
      <c r="A15" s="2" t="inlineStr">
        <is>
          <t>4. Scope: 120 stores + online; franchise stores without a POS link are excluded.</t>
        </is>
      </c>
    </row>
  </sheetData>
  <conditionalFormatting sqref="E6:E9">
    <cfRule type="cellIs" priority="1" operator="greaterThanOrEqual" dxfId="0">
      <formula>120</formula>
    </cfRule>
  </conditionalFormatting>
  <conditionalFormatting sqref="G6:G9">
    <cfRule type="cellIs" priority="2" operator="lessThan" dxfId="1">
      <formula>0.25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By Region</t>
        </is>
      </c>
    </row>
    <row r="2">
      <c r="A2" s="2" t="inlineStr">
        <is>
          <t>Sales index (base=100); data cut-off 2026-10-12</t>
        </is>
      </c>
    </row>
    <row r="4" ht="30" customHeight="1">
      <c r="A4" s="3" t="inlineStr">
        <is>
          <t>Region</t>
        </is>
      </c>
      <c r="B4" s="3" t="inlineStr">
        <is>
          <t>Base share</t>
        </is>
      </c>
      <c r="C4" s="3" t="inlineStr">
        <is>
          <t>Base</t>
        </is>
      </c>
      <c r="D4" s="3" t="inlineStr">
        <is>
          <t>W1</t>
        </is>
      </c>
      <c r="E4" s="3" t="inlineStr">
        <is>
          <t>W2</t>
        </is>
      </c>
      <c r="F4" s="3" t="inlineStr">
        <is>
          <t>W3</t>
        </is>
      </c>
      <c r="G4" s="3" t="inlineStr">
        <is>
          <t>W4</t>
        </is>
      </c>
    </row>
    <row r="5">
      <c r="A5" s="4" t="inlineStr">
        <is>
          <t>North</t>
        </is>
      </c>
      <c r="B5" s="12" t="n">
        <v>0.3</v>
      </c>
      <c r="C5" s="6" t="n">
        <v>100</v>
      </c>
      <c r="D5" s="6" t="n">
        <v>99</v>
      </c>
      <c r="E5" s="6" t="n">
        <v>98</v>
      </c>
      <c r="F5" s="6" t="n">
        <v>146</v>
      </c>
      <c r="G5" s="6" t="n">
        <v>101</v>
      </c>
    </row>
    <row r="6">
      <c r="A6" s="4" t="inlineStr">
        <is>
          <t>Central</t>
        </is>
      </c>
      <c r="B6" s="12" t="n">
        <v>0.3</v>
      </c>
      <c r="C6" s="6" t="n">
        <v>100</v>
      </c>
      <c r="D6" s="6" t="n">
        <v>93</v>
      </c>
      <c r="E6" s="6" t="n">
        <v>92</v>
      </c>
      <c r="F6" s="6" t="n">
        <v>134</v>
      </c>
      <c r="G6" s="6" t="n">
        <v>95</v>
      </c>
    </row>
    <row r="7">
      <c r="A7" s="4" t="inlineStr">
        <is>
          <t>South</t>
        </is>
      </c>
      <c r="B7" s="12" t="n">
        <v>0.25</v>
      </c>
      <c r="C7" s="6" t="n">
        <v>100</v>
      </c>
      <c r="D7" s="6" t="n">
        <v>95</v>
      </c>
      <c r="E7" s="6" t="n">
        <v>94</v>
      </c>
      <c r="F7" s="6" t="n">
        <v>138</v>
      </c>
      <c r="G7" s="6" t="n">
        <v>97</v>
      </c>
    </row>
    <row r="8">
      <c r="A8" s="4" t="inlineStr">
        <is>
          <t>East</t>
        </is>
      </c>
      <c r="B8" s="12" t="n">
        <v>0.15</v>
      </c>
      <c r="C8" s="6" t="n">
        <v>100</v>
      </c>
      <c r="D8" s="6" t="n">
        <v>91</v>
      </c>
      <c r="E8" s="6" t="n">
        <v>90</v>
      </c>
      <c r="F8" s="6" t="n">
        <v>130</v>
      </c>
      <c r="G8" s="6" t="n">
        <v>93</v>
      </c>
    </row>
    <row r="9">
      <c r="A9" s="13" t="inlineStr">
        <is>
          <t>All regions (weighted)</t>
        </is>
      </c>
      <c r="B9" s="14">
        <f>SUM(B5:B8)</f>
        <v/>
      </c>
      <c r="C9" s="15">
        <f>SUMPRODUCT($B$5:$B$8,C5:C8)</f>
        <v/>
      </c>
      <c r="D9" s="15">
        <f>SUMPRODUCT($B$5:$B$8,D5:D8)</f>
        <v/>
      </c>
      <c r="E9" s="15">
        <f>SUMPRODUCT($B$5:$B$8,E5:E8)</f>
        <v/>
      </c>
      <c r="F9" s="15">
        <f>SUMPRODUCT($B$5:$B$8,F5:F8)</f>
        <v/>
      </c>
      <c r="G9" s="15">
        <f>SUMPRODUCT($B$5:$B$8,G5:G8)</f>
        <v/>
      </c>
    </row>
  </sheetData>
  <conditionalFormatting sqref="D5:G8">
    <cfRule type="cellIs" priority="1" operator="greaterThanOrEqual" dxfId="0">
      <formula>130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By Category</t>
        </is>
      </c>
    </row>
    <row r="2">
      <c r="A2" s="2" t="inlineStr">
        <is>
          <t>Sales index (base=100); data cut-off 2026-10-12</t>
        </is>
      </c>
    </row>
    <row r="4" ht="30" customHeight="1">
      <c r="A4" s="3" t="inlineStr">
        <is>
          <t>Category</t>
        </is>
      </c>
      <c r="B4" s="3" t="inlineStr">
        <is>
          <t>Base share</t>
        </is>
      </c>
      <c r="C4" s="3" t="inlineStr">
        <is>
          <t>Base</t>
        </is>
      </c>
      <c r="D4" s="3" t="inlineStr">
        <is>
          <t>W1</t>
        </is>
      </c>
      <c r="E4" s="3" t="inlineStr">
        <is>
          <t>W2</t>
        </is>
      </c>
      <c r="F4" s="3" t="inlineStr">
        <is>
          <t>W3</t>
        </is>
      </c>
      <c r="G4" s="3" t="inlineStr">
        <is>
          <t>W4</t>
        </is>
      </c>
    </row>
    <row r="5">
      <c r="A5" s="4" t="inlineStr">
        <is>
          <t>Kitchen Storage</t>
        </is>
      </c>
      <c r="B5" s="12" t="n">
        <v>0.3</v>
      </c>
      <c r="C5" s="6" t="n">
        <v>100</v>
      </c>
      <c r="D5" s="6" t="n">
        <v>97</v>
      </c>
      <c r="E5" s="6" t="n">
        <v>96</v>
      </c>
      <c r="F5" s="6" t="n">
        <v>142</v>
      </c>
      <c r="G5" s="6" t="n">
        <v>99</v>
      </c>
    </row>
    <row r="6">
      <c r="A6" s="4" t="inlineStr">
        <is>
          <t>Food Containers</t>
        </is>
      </c>
      <c r="B6" s="12" t="n">
        <v>0.25</v>
      </c>
      <c r="C6" s="6" t="n">
        <v>100</v>
      </c>
      <c r="D6" s="6" t="n">
        <v>91</v>
      </c>
      <c r="E6" s="6" t="n">
        <v>90</v>
      </c>
      <c r="F6" s="6" t="n">
        <v>130</v>
      </c>
      <c r="G6" s="6" t="n">
        <v>93</v>
      </c>
    </row>
    <row r="7">
      <c r="A7" s="4" t="inlineStr">
        <is>
          <t>Bedding</t>
        </is>
      </c>
      <c r="B7" s="12" t="n">
        <v>0.2</v>
      </c>
      <c r="C7" s="6" t="n">
        <v>100</v>
      </c>
      <c r="D7" s="6" t="n">
        <v>95</v>
      </c>
      <c r="E7" s="6" t="n">
        <v>94</v>
      </c>
      <c r="F7" s="6" t="n">
        <v>138</v>
      </c>
      <c r="G7" s="6" t="n">
        <v>97</v>
      </c>
    </row>
    <row r="8">
      <c r="A8" s="4" t="inlineStr">
        <is>
          <t>Small Appliances</t>
        </is>
      </c>
      <c r="B8" s="12" t="n">
        <v>0.15</v>
      </c>
      <c r="C8" s="6" t="n">
        <v>100</v>
      </c>
      <c r="D8" s="6" t="n">
        <v>97</v>
      </c>
      <c r="E8" s="6" t="n">
        <v>96</v>
      </c>
      <c r="F8" s="6" t="n">
        <v>142</v>
      </c>
      <c r="G8" s="6" t="n">
        <v>99</v>
      </c>
    </row>
    <row r="9">
      <c r="A9" s="4" t="inlineStr">
        <is>
          <t>Festive Gift Sets</t>
        </is>
      </c>
      <c r="B9" s="12" t="n">
        <v>0.1</v>
      </c>
      <c r="C9" s="6" t="n">
        <v>100</v>
      </c>
      <c r="D9" s="6" t="n">
        <v>96</v>
      </c>
      <c r="E9" s="6" t="n">
        <v>95</v>
      </c>
      <c r="F9" s="6" t="n">
        <v>140</v>
      </c>
      <c r="G9" s="6" t="n">
        <v>98</v>
      </c>
    </row>
    <row r="10">
      <c r="A10" s="13" t="inlineStr">
        <is>
          <t>All categories (weighted)</t>
        </is>
      </c>
      <c r="B10" s="14">
        <f>SUM(B5:B9)</f>
        <v/>
      </c>
      <c r="C10" s="15">
        <f>SUMPRODUCT($B$5:$B$9,C5:C9)</f>
        <v/>
      </c>
      <c r="D10" s="15">
        <f>SUMPRODUCT($B$5:$B$9,D5:D9)</f>
        <v/>
      </c>
      <c r="E10" s="15">
        <f>SUMPRODUCT($B$5:$B$9,E5:E9)</f>
        <v/>
      </c>
      <c r="F10" s="15">
        <f>SUMPRODUCT($B$5:$B$9,F5:F9)</f>
        <v/>
      </c>
      <c r="G10" s="15">
        <f>SUMPRODUCT($B$5:$B$9,G5:G9)</f>
        <v/>
      </c>
    </row>
  </sheetData>
  <conditionalFormatting sqref="D5:G9">
    <cfRule type="cellIs" priority="1" operator="greaterThanOrEqual" dxfId="0">
      <formula>130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Baseline Weeks</t>
        </is>
      </c>
    </row>
    <row r="2">
      <c r="A2" s="2" t="inlineStr">
        <is>
          <t>Baseline = average of the four weeks before the sale</t>
        </is>
      </c>
    </row>
    <row r="4" ht="30" customHeight="1">
      <c r="A4" s="3" t="inlineStr">
        <is>
          <t>Week of</t>
        </is>
      </c>
      <c r="B4" s="3" t="inlineStr">
        <is>
          <t>Sales index</t>
        </is>
      </c>
      <c r="C4" s="3" t="inlineStr">
        <is>
          <t>Gross margin</t>
        </is>
      </c>
    </row>
    <row r="5">
      <c r="A5" s="4" t="inlineStr">
        <is>
          <t>2026-08-10</t>
        </is>
      </c>
      <c r="B5" s="6" t="n">
        <v>99</v>
      </c>
      <c r="C5" s="8" t="n">
        <v>0.28</v>
      </c>
    </row>
    <row r="6">
      <c r="A6" s="4" t="inlineStr">
        <is>
          <t>2026-08-17</t>
        </is>
      </c>
      <c r="B6" s="6" t="n">
        <v>101</v>
      </c>
      <c r="C6" s="8" t="n">
        <v>0.28</v>
      </c>
    </row>
    <row r="7">
      <c r="A7" s="4" t="inlineStr">
        <is>
          <t>2026-08-24</t>
        </is>
      </c>
      <c r="B7" s="6" t="n">
        <v>100</v>
      </c>
      <c r="C7" s="8" t="n">
        <v>0.28</v>
      </c>
    </row>
    <row r="8">
      <c r="A8" s="4" t="inlineStr">
        <is>
          <t>2026-08-31</t>
        </is>
      </c>
      <c r="B8" s="6" t="n">
        <v>100</v>
      </c>
      <c r="C8" s="8" t="n">
        <v>0.28</v>
      </c>
    </row>
    <row r="9">
      <c r="A9" s="4" t="inlineStr">
        <is>
          <t>Average</t>
        </is>
      </c>
      <c r="B9" s="6">
        <f>AVERAGE(B5:B8)</f>
        <v/>
      </c>
      <c r="C9" s="8">
        <f>AVERAGE(C5:C8)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Notes</t>
        </is>
      </c>
    </row>
    <row r="3" ht="30" customHeight="1">
      <c r="A3" s="3" t="inlineStr">
        <is>
          <t>Item</t>
        </is>
      </c>
      <c r="B3" s="3" t="inlineStr">
        <is>
          <t>Description</t>
        </is>
      </c>
    </row>
    <row r="4">
      <c r="A4" s="4" t="inlineStr">
        <is>
          <t>Source</t>
        </is>
      </c>
      <c r="B4" s="10" t="inlineStr">
        <is>
          <t>POS daily close files rolled up weekly in BI; online orders by payment date</t>
        </is>
      </c>
    </row>
    <row r="5">
      <c r="A5" s="4" t="inlineStr">
        <is>
          <t>Sale definition</t>
        </is>
      </c>
      <c r="B5" s="10" t="inlineStr">
        <is>
          <t>Zava Mid-Autumn Sale: 2026-09-21 to 2026-09-27 (W3)</t>
        </is>
      </c>
    </row>
    <row r="6">
      <c r="A6" s="4" t="inlineStr">
        <is>
          <t>Baseline</t>
        </is>
      </c>
      <c r="B6" s="10" t="inlineStr">
        <is>
          <t>Average of the four weeks before the sale (2026-08-10 to 2026-09-06), index 100</t>
        </is>
      </c>
    </row>
    <row r="7">
      <c r="A7" s="4" t="inlineStr">
        <is>
          <t>Margin basis</t>
        </is>
      </c>
      <c r="B7" s="10" t="inlineStr">
        <is>
          <t>After promotional discounts; excludes later supplier rebates</t>
        </is>
      </c>
    </row>
    <row r="8">
      <c r="A8" s="4" t="inlineStr">
        <is>
          <t>Excluded</t>
        </is>
      </c>
      <c r="B8" s="10" t="inlineStr">
        <is>
          <t>2 franchise stores without a POS link; 1 bulk group order listed separately</t>
        </is>
      </c>
    </row>
    <row r="9">
      <c r="A9" s="4" t="inlineStr">
        <is>
          <t>v1.2  2026-10-12</t>
        </is>
      </c>
      <c r="B9" s="10" t="inlineStr">
        <is>
          <t>Updated after W4 franchise POS back-fill</t>
        </is>
      </c>
    </row>
    <row r="10">
      <c r="A10" s="4" t="inlineStr">
        <is>
          <t>v1.1  2026-10-05</t>
        </is>
      </c>
      <c r="B10" s="10" t="inlineStr">
        <is>
          <t>Added category breakdown</t>
        </is>
      </c>
    </row>
    <row r="11">
      <c r="A11" s="4" t="inlineStr">
        <is>
          <t>v1.0  2026-09-29</t>
        </is>
      </c>
      <c r="B11" s="10" t="inlineStr">
        <is>
          <t>First release, W1-W3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2026-10-15T19:17:09Z</dcterms:created>
  <dcterms:modified xmlns:dcterms="http://purl.org/dc/terms/" xmlns:xsi="http://www.w3.org/2001/XMLSchema-instance" xsi:type="dcterms:W3CDTF">2026-10-15T19:17:09Z</dcterms:modified>
</cp:coreProperties>
</file>