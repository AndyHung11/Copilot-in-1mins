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扣例外登錄" sheetId="1" state="visible" r:id="rId1"/>
    <sheet xmlns:r="http://schemas.openxmlformats.org/officeDocument/2006/relationships" name="已結案（中秋檔）" sheetId="2" state="visible" r:id="rId2"/>
    <sheet xmlns:r="http://schemas.openxmlformats.org/officeDocument/2006/relationships" name="簽核規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  <dxf>
      <fill>
        <patternFill patternType="solid">
          <bgColor rgb="00FCE7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8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3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Zava 週年慶　折扣例外登錄</t>
        </is>
      </c>
    </row>
    <row r="2">
      <c r="A2" s="2" t="inlineStr">
        <is>
          <t>文件編號 LOG-PRC-2026-11　資料截止日：2026-10-14　維護：定價治理組　EX-04 起由定價治理專員依序登錄</t>
        </is>
      </c>
    </row>
    <row r="4" ht="30" customHeight="1">
      <c r="A4" s="3" t="inlineStr">
        <is>
          <t>編號</t>
        </is>
      </c>
      <c r="B4" s="3" t="inlineStr">
        <is>
          <t>申請日</t>
        </is>
      </c>
      <c r="C4" s="3" t="inlineStr">
        <is>
          <t>申請單位</t>
        </is>
      </c>
      <c r="D4" s="3" t="inlineStr">
        <is>
          <t>商品</t>
        </is>
      </c>
      <c r="E4" s="3" t="inlineStr">
        <is>
          <t>通路</t>
        </is>
      </c>
      <c r="F4" s="3" t="inlineStr">
        <is>
          <t>折扣率</t>
        </is>
      </c>
      <c r="G4" s="3" t="inlineStr">
        <is>
          <t>淨售價</t>
        </is>
      </c>
      <c r="H4" s="3" t="inlineStr">
        <is>
          <t>補貼(元/件)</t>
        </is>
      </c>
      <c r="I4" s="3" t="inlineStr">
        <is>
          <t>毛利率</t>
        </is>
      </c>
      <c r="J4" s="3" t="inlineStr">
        <is>
          <t>判定</t>
        </is>
      </c>
      <c r="K4" s="3" t="inlineStr">
        <is>
          <t>判定依據</t>
        </is>
      </c>
      <c r="L4" s="3" t="inlineStr">
        <is>
          <t>簽核人</t>
        </is>
      </c>
      <c r="M4" s="3" t="inlineStr">
        <is>
          <t>簽核日</t>
        </is>
      </c>
      <c r="N4" s="3" t="inlineStr">
        <is>
          <t>狀態</t>
        </is>
      </c>
    </row>
    <row r="5">
      <c r="A5" s="4" t="inlineStr">
        <is>
          <t>EX-01</t>
        </is>
      </c>
      <c r="B5" s="5" t="inlineStr">
        <is>
          <t>2026-10-08</t>
        </is>
      </c>
      <c r="C5" s="4" t="inlineStr">
        <is>
          <t>線上商城營運組</t>
        </is>
      </c>
      <c r="D5" s="4" t="inlineStr">
        <is>
          <t>週年慶主打組合</t>
        </is>
      </c>
      <c r="E5" s="4" t="inlineStr">
        <is>
          <t>官網</t>
        </is>
      </c>
      <c r="F5" s="6" t="n">
        <v>0.25</v>
      </c>
      <c r="G5" s="7">
        <f>IF(F5="","",1000*(1-F5))</f>
        <v/>
      </c>
      <c r="H5" s="7" t="n"/>
      <c r="I5" s="8" t="n"/>
      <c r="J5" s="4" t="n"/>
      <c r="K5" s="9" t="n"/>
      <c r="L5" s="4" t="n"/>
      <c r="M5" s="5" t="n"/>
      <c r="N5" s="4" t="inlineStr">
        <is>
          <t>待判定</t>
        </is>
      </c>
    </row>
    <row r="6">
      <c r="A6" s="4" t="inlineStr">
        <is>
          <t>EX-02</t>
        </is>
      </c>
      <c r="B6" s="5" t="inlineStr">
        <is>
          <t>2026-10-09</t>
        </is>
      </c>
      <c r="C6" s="4" t="inlineStr">
        <is>
          <t>門市營運組</t>
        </is>
      </c>
      <c r="D6" s="4" t="inlineStr">
        <is>
          <t>週年慶主打組合</t>
        </is>
      </c>
      <c r="E6" s="4" t="inlineStr">
        <is>
          <t>門市</t>
        </is>
      </c>
      <c r="F6" s="6" t="n">
        <v>0.2</v>
      </c>
      <c r="G6" s="7">
        <f>IF(F6="","",1000*(1-F6))</f>
        <v/>
      </c>
      <c r="H6" s="7" t="n"/>
      <c r="I6" s="8" t="n"/>
      <c r="J6" s="4" t="n"/>
      <c r="K6" s="9" t="n"/>
      <c r="L6" s="4" t="n"/>
      <c r="M6" s="5" t="n"/>
      <c r="N6" s="4" t="inlineStr">
        <is>
          <t>待判定</t>
        </is>
      </c>
    </row>
    <row r="7">
      <c r="A7" s="4" t="inlineStr">
        <is>
          <t>EX-03</t>
        </is>
      </c>
      <c r="B7" s="5" t="inlineStr">
        <is>
          <t>2026-10-10</t>
        </is>
      </c>
      <c r="C7" s="4" t="inlineStr">
        <is>
          <t>加盟拓展組</t>
        </is>
      </c>
      <c r="D7" s="4" t="inlineStr">
        <is>
          <t>週年慶主打組合</t>
        </is>
      </c>
      <c r="E7" s="4" t="inlineStr">
        <is>
          <t>加盟</t>
        </is>
      </c>
      <c r="F7" s="6" t="n">
        <v>0.24</v>
      </c>
      <c r="G7" s="7">
        <f>IF(F7="","",1000*(1-F7))</f>
        <v/>
      </c>
      <c r="H7" s="7" t="n"/>
      <c r="I7" s="8" t="n"/>
      <c r="J7" s="4" t="n"/>
      <c r="K7" s="9" t="n"/>
      <c r="L7" s="4" t="n"/>
      <c r="M7" s="5" t="n"/>
      <c r="N7" s="4" t="inlineStr">
        <is>
          <t>待判定</t>
        </is>
      </c>
    </row>
    <row r="8">
      <c r="A8" s="4" t="n"/>
      <c r="B8" s="5" t="n"/>
      <c r="C8" s="4" t="n"/>
      <c r="D8" s="4" t="n"/>
      <c r="E8" s="4" t="n"/>
      <c r="F8" s="6" t="n"/>
      <c r="G8" s="7">
        <f>IF(F8="","",1000*(1-F8))</f>
        <v/>
      </c>
      <c r="H8" s="7" t="n"/>
      <c r="I8" s="8" t="n"/>
      <c r="J8" s="4" t="n"/>
      <c r="K8" s="9" t="n"/>
      <c r="L8" s="4" t="n"/>
      <c r="M8" s="5" t="n"/>
      <c r="N8" s="4" t="n"/>
    </row>
    <row r="9">
      <c r="A9" s="4" t="n"/>
      <c r="B9" s="5" t="n"/>
      <c r="C9" s="4" t="n"/>
      <c r="D9" s="4" t="n"/>
      <c r="E9" s="4" t="n"/>
      <c r="F9" s="6" t="n"/>
      <c r="G9" s="7">
        <f>IF(F9="","",1000*(1-F9))</f>
        <v/>
      </c>
      <c r="H9" s="7" t="n"/>
      <c r="I9" s="8" t="n"/>
      <c r="J9" s="4" t="n"/>
      <c r="K9" s="9" t="n"/>
      <c r="L9" s="4" t="n"/>
      <c r="M9" s="5" t="n"/>
      <c r="N9" s="4" t="n"/>
    </row>
    <row r="10">
      <c r="A10" s="4" t="n"/>
      <c r="B10" s="5" t="n"/>
      <c r="C10" s="4" t="n"/>
      <c r="D10" s="4" t="n"/>
      <c r="E10" s="4" t="n"/>
      <c r="F10" s="6" t="n"/>
      <c r="G10" s="7">
        <f>IF(F10="","",1000*(1-F10))</f>
        <v/>
      </c>
      <c r="H10" s="7" t="n"/>
      <c r="I10" s="8" t="n"/>
      <c r="J10" s="4" t="n"/>
      <c r="K10" s="9" t="n"/>
      <c r="L10" s="4" t="n"/>
      <c r="M10" s="5" t="n"/>
      <c r="N10" s="4" t="n"/>
    </row>
    <row r="11">
      <c r="A11" s="4" t="n"/>
      <c r="B11" s="5" t="n"/>
      <c r="C11" s="4" t="n"/>
      <c r="D11" s="4" t="n"/>
      <c r="E11" s="4" t="n"/>
      <c r="F11" s="6" t="n"/>
      <c r="G11" s="7">
        <f>IF(F11="","",1000*(1-F11))</f>
        <v/>
      </c>
      <c r="H11" s="7" t="n"/>
      <c r="I11" s="8" t="n"/>
      <c r="J11" s="4" t="n"/>
      <c r="K11" s="9" t="n"/>
      <c r="L11" s="4" t="n"/>
      <c r="M11" s="5" t="n"/>
      <c r="N11" s="4" t="n"/>
    </row>
    <row r="12">
      <c r="A12" s="4" t="n"/>
      <c r="B12" s="5" t="n"/>
      <c r="C12" s="4" t="n"/>
      <c r="D12" s="4" t="n"/>
      <c r="E12" s="4" t="n"/>
      <c r="F12" s="6" t="n"/>
      <c r="G12" s="7">
        <f>IF(F12="","",1000*(1-F12))</f>
        <v/>
      </c>
      <c r="H12" s="7" t="n"/>
      <c r="I12" s="8" t="n"/>
      <c r="J12" s="4" t="n"/>
      <c r="K12" s="9" t="n"/>
      <c r="L12" s="4" t="n"/>
      <c r="M12" s="5" t="n"/>
      <c r="N12" s="4" t="n"/>
    </row>
    <row r="14">
      <c r="A14" s="2" t="inlineStr">
        <is>
          <t>說明：淨售價＝標準定價 1,000 元 ×（1 − 折扣率）；毛利率、判定與判定依據由定價治理專員依「通路定價政策」填寫。</t>
        </is>
      </c>
    </row>
  </sheetData>
  <conditionalFormatting sqref="J5:J12">
    <cfRule type="cellIs" priority="1" operator="equal" dxfId="0">
      <formula>"違規"</formula>
    </cfRule>
    <cfRule type="cellIs" priority="2" operator="equal" dxfId="1">
      <formula>"符合"</formula>
    </cfRule>
  </conditionalFormatting>
  <conditionalFormatting sqref="N5:N12">
    <cfRule type="cellIs" priority="3" operator="equal" dxfId="2">
      <formula>"待判定"</formula>
    </cfRule>
  </conditionalFormatting>
  <dataValidations count="3">
    <dataValidation sqref="E5:E12" showDropDown="0" showInputMessage="0" showErrorMessage="0" allowBlank="1" type="list">
      <formula1>"官網,門市,加盟"</formula1>
    </dataValidation>
    <dataValidation sqref="J5:J12" showDropDown="0" showInputMessage="0" showErrorMessage="0" allowBlank="1" type="list">
      <formula1>"符合,違規,待確認"</formula1>
    </dataValidation>
    <dataValidation sqref="N5:N12" showDropDown="0" showInputMessage="0" showErrorMessage="0" allowBlank="1" type="list">
      <formula1>"待判定,已判定,已簽核"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2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已結案例外（上一檔期）</t>
        </is>
      </c>
    </row>
    <row r="3" ht="30" customHeight="1">
      <c r="A3" s="3" t="inlineStr">
        <is>
          <t>編號</t>
        </is>
      </c>
      <c r="B3" s="3" t="inlineStr">
        <is>
          <t>申請日</t>
        </is>
      </c>
      <c r="C3" s="3" t="inlineStr">
        <is>
          <t>申請單位</t>
        </is>
      </c>
      <c r="D3" s="3" t="inlineStr">
        <is>
          <t>商品</t>
        </is>
      </c>
      <c r="E3" s="3" t="inlineStr">
        <is>
          <t>通路</t>
        </is>
      </c>
      <c r="F3" s="3" t="inlineStr">
        <is>
          <t>折扣率</t>
        </is>
      </c>
      <c r="G3" s="3" t="inlineStr">
        <is>
          <t>淨售價</t>
        </is>
      </c>
      <c r="H3" s="3" t="inlineStr">
        <is>
          <t>補貼(元/件)</t>
        </is>
      </c>
      <c r="I3" s="3" t="inlineStr">
        <is>
          <t>毛利率</t>
        </is>
      </c>
      <c r="J3" s="3" t="inlineStr">
        <is>
          <t>判定</t>
        </is>
      </c>
      <c r="K3" s="3" t="inlineStr">
        <is>
          <t>判定依據</t>
        </is>
      </c>
      <c r="L3" s="3" t="inlineStr">
        <is>
          <t>簽核人</t>
        </is>
      </c>
      <c r="M3" s="3" t="inlineStr">
        <is>
          <t>簽核日</t>
        </is>
      </c>
      <c r="N3" s="3" t="inlineStr">
        <is>
          <t>狀態</t>
        </is>
      </c>
    </row>
    <row r="4">
      <c r="A4" s="4" t="inlineStr">
        <is>
          <t>EX-H01</t>
        </is>
      </c>
      <c r="B4" s="4" t="inlineStr">
        <is>
          <t>2026-09-12</t>
        </is>
      </c>
      <c r="C4" s="4" t="inlineStr">
        <is>
          <t>門市營運組</t>
        </is>
      </c>
      <c r="D4" s="4" t="inlineStr">
        <is>
          <t>中秋保鮮盒組</t>
        </is>
      </c>
      <c r="E4" s="4" t="inlineStr">
        <is>
          <t>門市</t>
        </is>
      </c>
      <c r="F4" s="6" t="n">
        <v>0.18</v>
      </c>
      <c r="G4" s="7" t="n">
        <v>820</v>
      </c>
      <c r="H4" s="4" t="n">
        <v>0</v>
      </c>
      <c r="I4" s="8" t="n">
        <v>0.317</v>
      </c>
      <c r="J4" s="4" t="inlineStr">
        <is>
          <t>符合</t>
        </is>
      </c>
      <c r="K4" s="4" t="inlineStr">
        <is>
          <t>毛利高於底線</t>
        </is>
      </c>
      <c r="L4" s="4" t="inlineStr">
        <is>
          <t>吳淑芬</t>
        </is>
      </c>
      <c r="M4" s="4" t="inlineStr">
        <is>
          <t>2026-09-12</t>
        </is>
      </c>
      <c r="N4" s="4" t="inlineStr">
        <is>
          <t>已簽核</t>
        </is>
      </c>
    </row>
    <row r="5">
      <c r="A5" s="4" t="inlineStr">
        <is>
          <t>EX-H02</t>
        </is>
      </c>
      <c r="B5" s="4" t="inlineStr">
        <is>
          <t>2026-09-13</t>
        </is>
      </c>
      <c r="C5" s="4" t="inlineStr">
        <is>
          <t>加盟拓展組</t>
        </is>
      </c>
      <c r="D5" s="4" t="inlineStr">
        <is>
          <t>中秋保鮮盒組</t>
        </is>
      </c>
      <c r="E5" s="4" t="inlineStr">
        <is>
          <t>加盟</t>
        </is>
      </c>
      <c r="F5" s="6" t="n">
        <v>0.16</v>
      </c>
      <c r="G5" s="7" t="n">
        <v>840</v>
      </c>
      <c r="H5" s="4" t="n">
        <v>0</v>
      </c>
      <c r="I5" s="8" t="n">
        <v>0.295</v>
      </c>
      <c r="J5" s="4" t="inlineStr">
        <is>
          <t>符合</t>
        </is>
      </c>
      <c r="K5" s="4" t="inlineStr">
        <is>
          <t>毛利高於底線</t>
        </is>
      </c>
      <c r="L5" s="4" t="inlineStr">
        <is>
          <t>吳淑芬</t>
        </is>
      </c>
      <c r="M5" s="4" t="inlineStr">
        <is>
          <t>2026-09-13</t>
        </is>
      </c>
      <c r="N5" s="4" t="inlineStr">
        <is>
          <t>已簽核</t>
        </is>
      </c>
    </row>
    <row r="6">
      <c r="A6" s="4" t="inlineStr">
        <is>
          <t>EX-H03</t>
        </is>
      </c>
      <c r="B6" s="4" t="inlineStr">
        <is>
          <t>2026-09-15</t>
        </is>
      </c>
      <c r="C6" s="4" t="inlineStr">
        <is>
          <t>線上商城營運組</t>
        </is>
      </c>
      <c r="D6" s="4" t="inlineStr">
        <is>
          <t>中秋保鮮盒組</t>
        </is>
      </c>
      <c r="E6" s="4" t="inlineStr">
        <is>
          <t>官網</t>
        </is>
      </c>
      <c r="F6" s="6" t="n">
        <v>0.2</v>
      </c>
      <c r="G6" s="7" t="n">
        <v>800</v>
      </c>
      <c r="H6" s="4" t="n">
        <v>0</v>
      </c>
      <c r="I6" s="8" t="n">
        <v>0.275</v>
      </c>
      <c r="J6" s="4" t="inlineStr">
        <is>
          <t>符合</t>
        </is>
      </c>
      <c r="K6" s="4" t="inlineStr">
        <is>
          <t>毛利高於底線</t>
        </is>
      </c>
      <c r="L6" s="4" t="inlineStr">
        <is>
          <t>吳淑芬</t>
        </is>
      </c>
      <c r="M6" s="4" t="inlineStr">
        <is>
          <t>2026-09-15</t>
        </is>
      </c>
      <c r="N6" s="4" t="inlineStr">
        <is>
          <t>已簽核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</cols>
  <sheetData>
    <row r="1">
      <c r="A1" s="1" t="inlineStr">
        <is>
          <t>簽核規則</t>
        </is>
      </c>
    </row>
    <row r="3" ht="30" customHeight="1">
      <c r="A3" s="3" t="inlineStr">
        <is>
          <t>步驟</t>
        </is>
      </c>
      <c r="B3" s="3" t="inlineStr">
        <is>
          <t>角色</t>
        </is>
      </c>
      <c r="C3" s="3" t="inlineStr">
        <is>
          <t>職責</t>
        </is>
      </c>
    </row>
    <row r="4">
      <c r="A4" s="4" t="inlineStr">
        <is>
          <t>1</t>
        </is>
      </c>
      <c r="B4" s="9" t="inlineStr">
        <is>
          <t>申請單位</t>
        </is>
      </c>
      <c r="C4" s="9" t="inlineStr">
        <is>
          <t>登錄通路、折扣率、商品</t>
        </is>
      </c>
    </row>
    <row r="5">
      <c r="A5" s="4" t="inlineStr">
        <is>
          <t>2</t>
        </is>
      </c>
      <c r="B5" s="9" t="inlineStr">
        <is>
          <t>定價治理專員（吳淑芬）</t>
        </is>
      </c>
      <c r="C5" s="9" t="inlineStr">
        <is>
          <t>判定毛利是否達底線並寫明依據</t>
        </is>
      </c>
    </row>
    <row r="6">
      <c r="A6" s="4" t="inlineStr">
        <is>
          <t>3</t>
        </is>
      </c>
      <c r="B6" s="9" t="inlineStr">
        <is>
          <t>區域營運經理（林雅婷）</t>
        </is>
      </c>
      <c r="C6" s="9" t="inlineStr">
        <is>
          <t>判定符合者簽核</t>
        </is>
      </c>
    </row>
    <row r="7">
      <c r="A7" s="4" t="inlineStr">
        <is>
          <t>4</t>
        </is>
      </c>
      <c r="B7" s="9" t="inlineStr">
        <is>
          <t>區域總監（蔡明哲）</t>
        </is>
      </c>
      <c r="C7" s="9" t="inlineStr">
        <is>
          <t>超過 15% 之例外最終簽核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2026-10-15T19:17:10Z</dcterms:created>
  <dcterms:modified xmlns:dcterms="http://purl.org/dc/terms/" xmlns:xsi="http://www.w3.org/2001/XMLSchema-instance" xsi:type="dcterms:W3CDTF">2026-10-15T19:17:10Z</dcterms:modified>
</cp:coreProperties>
</file>