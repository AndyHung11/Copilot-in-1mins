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货明细" sheetId="1" state="visible" r:id="rId1"/>
    <sheet xmlns:r="http://schemas.openxmlformats.org/officeDocument/2006/relationships" name="批次汇总" sheetId="2" state="visible" r:id="rId2"/>
    <sheet xmlns:r="http://schemas.openxmlformats.org/officeDocument/2006/relationships" name="验收人名册" sheetId="3" state="visible" r:id="rId3"/>
  </sheets>
  <definedNames>
    <definedName name="_xlnm._FilterDatabase" localSheetId="0" hidden="1">'收货明细'!$A$4:$K$14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12" customWidth="1" min="5" max="5"/>
    <col width="20" customWidth="1" min="6" max="6"/>
    <col width="10" customWidth="1" min="7" max="7"/>
    <col width="10" customWidth="1" min="8" max="8"/>
    <col width="14" customWidth="1" min="9" max="9"/>
    <col width="7" customWidth="1" min="10" max="10"/>
    <col width="28" customWidth="1" min="11" max="11"/>
  </cols>
  <sheetData>
    <row r="1">
      <c r="A1" s="1" t="inlineStr">
        <is>
          <t>收货记录（桃园 DC）</t>
        </is>
      </c>
    </row>
    <row r="2">
      <c r="A2" s="2" t="inlineStr">
        <is>
          <t>文件编号 ZR-INV-GR-2610　数据截止日 2026-10-12　维护：库存与收货控制组　供应商：Northwind Foods</t>
        </is>
      </c>
    </row>
    <row r="4" ht="30" customHeight="1">
      <c r="A4" s="3" t="inlineStr">
        <is>
          <t>收货单号</t>
        </is>
      </c>
      <c r="B4" s="3" t="inlineStr">
        <is>
          <t>收货日期</t>
        </is>
      </c>
      <c r="C4" s="3" t="inlineStr">
        <is>
          <t>批次</t>
        </is>
      </c>
      <c r="D4" s="3" t="inlineStr">
        <is>
          <t>ASN 单号</t>
        </is>
      </c>
      <c r="E4" s="3" t="inlineStr">
        <is>
          <t>SKU</t>
        </is>
      </c>
      <c r="F4" s="3" t="inlineStr">
        <is>
          <t>品名</t>
        </is>
      </c>
      <c r="G4" s="3" t="inlineStr">
        <is>
          <t>ASN 数量</t>
        </is>
      </c>
      <c r="H4" s="3" t="inlineStr">
        <is>
          <t>实收数量</t>
        </is>
      </c>
      <c r="I4" s="3" t="inlineStr">
        <is>
          <t>验收人</t>
        </is>
      </c>
      <c r="J4" s="3" t="inlineStr">
        <is>
          <t>月台</t>
        </is>
      </c>
      <c r="K4" s="3" t="inlineStr">
        <is>
          <t>备注</t>
        </is>
      </c>
    </row>
    <row r="5">
      <c r="A5" s="4" t="inlineStr">
        <is>
          <t>GR-2608-0300</t>
        </is>
      </c>
      <c r="B5" s="5" t="n">
        <v>46252</v>
      </c>
      <c r="C5" s="4" t="inlineStr">
        <is>
          <t>B-H1</t>
        </is>
      </c>
      <c r="D5" s="4" t="inlineStr">
        <is>
          <t>ASN-H101</t>
        </is>
      </c>
      <c r="E5" s="4" t="inlineStr">
        <is>
          <t>SKU-10399</t>
        </is>
      </c>
      <c r="F5" s="4" t="inlineStr">
        <is>
          <t>玻璃保鲜罐</t>
        </is>
      </c>
      <c r="G5" s="6" t="n">
        <v>400</v>
      </c>
      <c r="H5" s="6" t="n">
        <v>400</v>
      </c>
      <c r="I5" s="4" t="inlineStr">
        <is>
          <t>邱建诚</t>
        </is>
      </c>
      <c r="J5" s="4" t="inlineStr">
        <is>
          <t>D01</t>
        </is>
      </c>
      <c r="K5" s="4" t="n"/>
    </row>
    <row r="6">
      <c r="A6" s="4" t="inlineStr">
        <is>
          <t>GR-2608-0301</t>
        </is>
      </c>
      <c r="B6" s="5" t="n">
        <v>46259</v>
      </c>
      <c r="C6" s="4" t="inlineStr">
        <is>
          <t>B-H2</t>
        </is>
      </c>
      <c r="D6" s="4" t="inlineStr">
        <is>
          <t>ASN-H201</t>
        </is>
      </c>
      <c r="E6" s="4" t="inlineStr">
        <is>
          <t>SKU-10399</t>
        </is>
      </c>
      <c r="F6" s="4" t="inlineStr">
        <is>
          <t>玻璃保鲜罐</t>
        </is>
      </c>
      <c r="G6" s="6" t="n">
        <v>350</v>
      </c>
      <c r="H6" s="6" t="n">
        <v>350</v>
      </c>
      <c r="I6" s="4" t="inlineStr">
        <is>
          <t>魏静宜</t>
        </is>
      </c>
      <c r="J6" s="4" t="inlineStr">
        <is>
          <t>D02</t>
        </is>
      </c>
      <c r="K6" s="4" t="n"/>
    </row>
    <row r="7">
      <c r="A7" s="4" t="inlineStr">
        <is>
          <t>GR-2609-0302</t>
        </is>
      </c>
      <c r="B7" s="5" t="n">
        <v>46267</v>
      </c>
      <c r="C7" s="4" t="inlineStr">
        <is>
          <t>B-H3</t>
        </is>
      </c>
      <c r="D7" s="4" t="inlineStr">
        <is>
          <t>ASN-H301</t>
        </is>
      </c>
      <c r="E7" s="4" t="inlineStr">
        <is>
          <t>SKU-10288</t>
        </is>
      </c>
      <c r="F7" s="4" t="inlineStr">
        <is>
          <t>不锈钢水壶</t>
        </is>
      </c>
      <c r="G7" s="6" t="n">
        <v>500</v>
      </c>
      <c r="H7" s="6" t="n">
        <v>495</v>
      </c>
      <c r="I7" s="4" t="inlineStr">
        <is>
          <t>吕宗翰</t>
        </is>
      </c>
      <c r="J7" s="4" t="inlineStr">
        <is>
          <t>D03</t>
        </is>
      </c>
      <c r="K7" s="4" t="inlineStr">
        <is>
          <t>收货单已注记数量差异</t>
        </is>
      </c>
    </row>
    <row r="8">
      <c r="A8" s="4" t="inlineStr">
        <is>
          <t>GR-2609-0303</t>
        </is>
      </c>
      <c r="B8" s="5" t="n">
        <v>46286</v>
      </c>
      <c r="C8" s="4" t="inlineStr">
        <is>
          <t>B-01</t>
        </is>
      </c>
      <c r="D8" s="4" t="inlineStr">
        <is>
          <t>ASN-0101</t>
        </is>
      </c>
      <c r="E8" s="4" t="inlineStr">
        <is>
          <t>SKU-10482</t>
        </is>
      </c>
      <c r="F8" s="4" t="inlineStr">
        <is>
          <t>保鲜盒组</t>
        </is>
      </c>
      <c r="G8" s="6" t="n">
        <v>800</v>
      </c>
      <c r="H8" s="6" t="n">
        <v>800</v>
      </c>
      <c r="I8" s="4" t="inlineStr">
        <is>
          <t>蔡欣怡</t>
        </is>
      </c>
      <c r="J8" s="4" t="inlineStr">
        <is>
          <t>D01</t>
        </is>
      </c>
      <c r="K8" s="4" t="n"/>
    </row>
    <row r="9">
      <c r="A9" s="4" t="inlineStr">
        <is>
          <t>GR-2609-0304</t>
        </is>
      </c>
      <c r="B9" s="5" t="n">
        <v>46289</v>
      </c>
      <c r="C9" s="4" t="inlineStr">
        <is>
          <t>B-02</t>
        </is>
      </c>
      <c r="D9" s="4" t="inlineStr">
        <is>
          <t>ASN-0201</t>
        </is>
      </c>
      <c r="E9" s="4" t="inlineStr">
        <is>
          <t>SKU-10482</t>
        </is>
      </c>
      <c r="F9" s="4" t="inlineStr">
        <is>
          <t>保鲜盒组</t>
        </is>
      </c>
      <c r="G9" s="6" t="n">
        <v>600</v>
      </c>
      <c r="H9" s="6" t="n">
        <v>600</v>
      </c>
      <c r="I9" s="4" t="inlineStr">
        <is>
          <t>邱建诚</t>
        </is>
      </c>
      <c r="J9" s="4" t="inlineStr">
        <is>
          <t>D02</t>
        </is>
      </c>
      <c r="K9" s="4" t="n"/>
    </row>
    <row r="10">
      <c r="A10" s="4" t="inlineStr">
        <is>
          <t>GR-2609-0305</t>
        </is>
      </c>
      <c r="B10" s="5" t="n">
        <v>46293</v>
      </c>
      <c r="C10" s="4" t="inlineStr">
        <is>
          <t>B-03</t>
        </is>
      </c>
      <c r="D10" s="4" t="inlineStr">
        <is>
          <t>ASN-0301</t>
        </is>
      </c>
      <c r="E10" s="4" t="inlineStr">
        <is>
          <t>SKU-10482</t>
        </is>
      </c>
      <c r="F10" s="4" t="inlineStr">
        <is>
          <t>保鲜盒组</t>
        </is>
      </c>
      <c r="G10" s="6" t="n">
        <v>1000</v>
      </c>
      <c r="H10" s="6" t="n">
        <v>1000</v>
      </c>
      <c r="I10" s="4" t="inlineStr">
        <is>
          <t>魏静宜</t>
        </is>
      </c>
      <c r="J10" s="4" t="inlineStr">
        <is>
          <t>D03</t>
        </is>
      </c>
      <c r="K10" s="4" t="n"/>
    </row>
    <row r="11">
      <c r="A11" s="4" t="inlineStr">
        <is>
          <t>GR-2610-0306</t>
        </is>
      </c>
      <c r="B11" s="5" t="n">
        <v>46297</v>
      </c>
      <c r="C11" s="4" t="inlineStr">
        <is>
          <t>B-04</t>
        </is>
      </c>
      <c r="D11" s="4" t="inlineStr">
        <is>
          <t>ASN-0401</t>
        </is>
      </c>
      <c r="E11" s="4" t="inlineStr">
        <is>
          <t>SKU-10517</t>
        </is>
      </c>
      <c r="F11" s="4" t="inlineStr">
        <is>
          <t>收纳篮</t>
        </is>
      </c>
      <c r="G11" s="6" t="n">
        <v>1200</v>
      </c>
      <c r="H11" s="6" t="n">
        <v>1130</v>
      </c>
      <c r="I11" s="4" t="inlineStr">
        <is>
          <t>吕宗翰</t>
        </is>
      </c>
      <c r="J11" s="4" t="inlineStr">
        <is>
          <t>D01</t>
        </is>
      </c>
      <c r="K11" s="4" t="inlineStr">
        <is>
          <t>收货单已注记数量差异</t>
        </is>
      </c>
    </row>
    <row r="12">
      <c r="A12" s="4" t="inlineStr">
        <is>
          <t>GR-2610-0307</t>
        </is>
      </c>
      <c r="B12" s="5" t="n">
        <v>46300</v>
      </c>
      <c r="C12" s="4" t="inlineStr">
        <is>
          <t>B-05</t>
        </is>
      </c>
      <c r="D12" s="4" t="inlineStr">
        <is>
          <t>ASN-0501</t>
        </is>
      </c>
      <c r="E12" s="4" t="inlineStr">
        <is>
          <t>SKU-10517</t>
        </is>
      </c>
      <c r="F12" s="4" t="inlineStr">
        <is>
          <t>收纳篮</t>
        </is>
      </c>
      <c r="G12" s="6" t="n">
        <v>500</v>
      </c>
      <c r="H12" s="6" t="n">
        <v>500</v>
      </c>
      <c r="I12" s="4" t="inlineStr">
        <is>
          <t>蔡欣怡</t>
        </is>
      </c>
      <c r="J12" s="4" t="inlineStr">
        <is>
          <t>D02</t>
        </is>
      </c>
      <c r="K12" s="4" t="n"/>
    </row>
    <row r="13">
      <c r="A13" s="4" t="inlineStr">
        <is>
          <t>GR-2610-0308</t>
        </is>
      </c>
      <c r="B13" s="5" t="n">
        <v>46303</v>
      </c>
      <c r="C13" s="4" t="inlineStr">
        <is>
          <t>B-06</t>
        </is>
      </c>
      <c r="D13" s="4" t="inlineStr">
        <is>
          <t>ASN-0601</t>
        </is>
      </c>
      <c r="E13" s="4" t="inlineStr">
        <is>
          <t>SKU-10517</t>
        </is>
      </c>
      <c r="F13" s="4" t="inlineStr">
        <is>
          <t>收纳篮</t>
        </is>
      </c>
      <c r="G13" s="6" t="n">
        <v>900</v>
      </c>
      <c r="H13" s="6" t="n">
        <v>890</v>
      </c>
      <c r="I13" s="4" t="inlineStr">
        <is>
          <t>邱建诚</t>
        </is>
      </c>
      <c r="J13" s="4" t="inlineStr">
        <is>
          <t>D03</t>
        </is>
      </c>
      <c r="K13" s="4" t="inlineStr">
        <is>
          <t>收货单已注记数量差异</t>
        </is>
      </c>
    </row>
    <row r="14">
      <c r="A14" s="4" t="inlineStr">
        <is>
          <t>GR-2610-0309</t>
        </is>
      </c>
      <c r="B14" s="5" t="n">
        <v>46306</v>
      </c>
      <c r="C14" s="4" t="inlineStr">
        <is>
          <t>B-07</t>
        </is>
      </c>
      <c r="D14" s="4" t="inlineStr">
        <is>
          <t>ASN-0701</t>
        </is>
      </c>
      <c r="E14" s="4" t="inlineStr">
        <is>
          <t>SKU-10482</t>
        </is>
      </c>
      <c r="F14" s="4" t="inlineStr">
        <is>
          <t>保鲜盒组</t>
        </is>
      </c>
      <c r="G14" s="6" t="n">
        <v>1200</v>
      </c>
      <c r="H14" s="6" t="n">
        <v>1200</v>
      </c>
      <c r="I14" s="4" t="inlineStr">
        <is>
          <t>魏静宜</t>
        </is>
      </c>
      <c r="J14" s="4" t="inlineStr">
        <is>
          <t>D01</t>
        </is>
      </c>
      <c r="K14" s="4" t="n"/>
    </row>
  </sheetData>
  <autoFilter ref="A4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批次汇总</t>
        </is>
      </c>
    </row>
    <row r="3" ht="24" customHeight="1">
      <c r="A3" s="3" t="inlineStr">
        <is>
          <t>批次</t>
        </is>
      </c>
      <c r="B3" s="3" t="inlineStr">
        <is>
          <t>实收数量</t>
        </is>
      </c>
    </row>
    <row r="4">
      <c r="A4" s="4" t="inlineStr">
        <is>
          <t>B-H1</t>
        </is>
      </c>
      <c r="B4" s="6">
        <f>SUMIF('收货明细'!C5:C14,A4,'收货明细'!H5:H14)</f>
        <v/>
      </c>
    </row>
    <row r="5">
      <c r="A5" s="4" t="inlineStr">
        <is>
          <t>B-H2</t>
        </is>
      </c>
      <c r="B5" s="6">
        <f>SUMIF('收货明细'!C5:C14,A5,'收货明细'!H5:H14)</f>
        <v/>
      </c>
    </row>
    <row r="6">
      <c r="A6" s="4" t="inlineStr">
        <is>
          <t>B-H3</t>
        </is>
      </c>
      <c r="B6" s="6">
        <f>SUMIF('收货明细'!C5:C14,A6,'收货明细'!H5:H14)</f>
        <v/>
      </c>
    </row>
    <row r="7">
      <c r="A7" s="4" t="inlineStr">
        <is>
          <t>B-01</t>
        </is>
      </c>
      <c r="B7" s="6">
        <f>SUMIF('收货明细'!C5:C14,A7,'收货明细'!H5:H14)</f>
        <v/>
      </c>
    </row>
    <row r="8">
      <c r="A8" s="4" t="inlineStr">
        <is>
          <t>B-02</t>
        </is>
      </c>
      <c r="B8" s="6">
        <f>SUMIF('收货明细'!C5:C14,A8,'收货明细'!H5:H14)</f>
        <v/>
      </c>
    </row>
    <row r="9">
      <c r="A9" s="4" t="inlineStr">
        <is>
          <t>B-03</t>
        </is>
      </c>
      <c r="B9" s="6">
        <f>SUMIF('收货明细'!C5:C14,A9,'收货明细'!H5:H14)</f>
        <v/>
      </c>
    </row>
    <row r="10">
      <c r="A10" s="4" t="inlineStr">
        <is>
          <t>B-04</t>
        </is>
      </c>
      <c r="B10" s="6">
        <f>SUMIF('收货明细'!C5:C14,A10,'收货明细'!H5:H14)</f>
        <v/>
      </c>
    </row>
    <row r="11">
      <c r="A11" s="4" t="inlineStr">
        <is>
          <t>B-05</t>
        </is>
      </c>
      <c r="B11" s="6">
        <f>SUMIF('收货明细'!C5:C14,A11,'收货明细'!H5:H14)</f>
        <v/>
      </c>
    </row>
    <row r="12">
      <c r="A12" s="4" t="inlineStr">
        <is>
          <t>B-06</t>
        </is>
      </c>
      <c r="B12" s="6">
        <f>SUMIF('收货明细'!C5:C14,A12,'收货明细'!H5:H14)</f>
        <v/>
      </c>
    </row>
    <row r="13">
      <c r="A13" s="4" t="inlineStr">
        <is>
          <t>B-07</t>
        </is>
      </c>
      <c r="B13" s="6">
        <f>SUMIF('收货明细'!C5:C14,A13,'收货明细'!H5:H14)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</cols>
  <sheetData>
    <row r="1">
      <c r="A1" s="1" t="inlineStr">
        <is>
          <t>验收人名册</t>
        </is>
      </c>
    </row>
    <row r="3" ht="24" customHeight="1">
      <c r="A3" s="3" t="inlineStr">
        <is>
          <t>姓名</t>
        </is>
      </c>
      <c r="B3" s="3" t="inlineStr">
        <is>
          <t>班别</t>
        </is>
      </c>
      <c r="C3" s="3" t="inlineStr">
        <is>
          <t>所属</t>
        </is>
      </c>
    </row>
    <row r="4">
      <c r="A4" s="4" t="inlineStr">
        <is>
          <t>邱建诚</t>
        </is>
      </c>
      <c r="B4" s="4" t="inlineStr">
        <is>
          <t>早班</t>
        </is>
      </c>
      <c r="C4" s="4" t="inlineStr">
        <is>
          <t>库存与收货控制组</t>
        </is>
      </c>
    </row>
    <row r="5">
      <c r="A5" s="4" t="inlineStr">
        <is>
          <t>魏静宜</t>
        </is>
      </c>
      <c r="B5" s="4" t="inlineStr">
        <is>
          <t>晚班</t>
        </is>
      </c>
      <c r="C5" s="4" t="inlineStr">
        <is>
          <t>库存与收货控制组</t>
        </is>
      </c>
    </row>
    <row r="6">
      <c r="A6" s="4" t="inlineStr">
        <is>
          <t>吕宗翰</t>
        </is>
      </c>
      <c r="B6" s="4" t="inlineStr">
        <is>
          <t>早班</t>
        </is>
      </c>
      <c r="C6" s="4" t="inlineStr">
        <is>
          <t>库存与收货控制组</t>
        </is>
      </c>
    </row>
    <row r="7">
      <c r="A7" s="4" t="inlineStr">
        <is>
          <t>蔡欣怡</t>
        </is>
      </c>
      <c r="B7" s="4" t="inlineStr">
        <is>
          <t>晚班</t>
        </is>
      </c>
      <c r="C7" s="4" t="inlineStr">
        <is>
          <t>库存与收货控制组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