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货差异台账" sheetId="1" state="visible" r:id="rId1"/>
    <sheet xmlns:r="http://schemas.openxmlformats.org/officeDocument/2006/relationships" name="索赔规则" sheetId="2" state="visible" r:id="rId2"/>
    <sheet xmlns:r="http://schemas.openxmlformats.org/officeDocument/2006/relationships" name="供应商主数据" sheetId="3" state="visible" r:id="rId3"/>
    <sheet xmlns:r="http://schemas.openxmlformats.org/officeDocument/2006/relationships" name="ASN明细" sheetId="4" state="visible" r:id="rId4"/>
  </sheets>
  <definedNames>
    <definedName name="_xlnm._FilterDatabase" localSheetId="0" hidden="1">'收货差异台账'!$A$4:$O$14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42B4D"/>
      <sz val="11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9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ill>
        <patternFill patternType="solid"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9" customWidth="1" min="12" max="12"/>
    <col width="12" customWidth="1" min="13" max="13"/>
    <col width="10" customWidth="1" min="14" max="14"/>
    <col width="34" customWidth="1" min="15" max="15"/>
  </cols>
  <sheetData>
    <row r="1">
      <c r="A1" s="1" t="inlineStr">
        <is>
          <t>Zava 周年庆　供应商收货差异台账</t>
        </is>
      </c>
    </row>
    <row r="2">
      <c r="A2" s="2" t="inlineStr">
        <is>
          <t>供应商：Northwind Foods（V-2041）　数据截止：2026-10-12　维护：库存与收货控制组</t>
        </is>
      </c>
    </row>
    <row r="4" ht="32" customHeight="1">
      <c r="A4" s="3" t="inlineStr">
        <is>
          <t>批次</t>
        </is>
      </c>
      <c r="B4" s="3" t="inlineStr">
        <is>
          <t>收货日</t>
        </is>
      </c>
      <c r="C4" s="3" t="inlineStr">
        <is>
          <t>SKU</t>
        </is>
      </c>
      <c r="D4" s="3" t="inlineStr">
        <is>
          <t>品名</t>
        </is>
      </c>
      <c r="E4" s="3" t="inlineStr">
        <is>
          <t>ASN 数量</t>
        </is>
      </c>
      <c r="F4" s="3" t="inlineStr">
        <is>
          <t>收货数量</t>
        </is>
      </c>
      <c r="G4" s="3" t="inlineStr">
        <is>
          <t>发票数量</t>
        </is>
      </c>
      <c r="H4" s="3" t="inlineStr">
        <is>
          <t>赠品数量</t>
        </is>
      </c>
      <c r="I4" s="3" t="inlineStr">
        <is>
          <t>短收件数</t>
        </is>
      </c>
      <c r="J4" s="3" t="inlineStr">
        <is>
          <t>短收比例</t>
        </is>
      </c>
      <c r="K4" s="3" t="inlineStr">
        <is>
          <t>收货−发票</t>
        </is>
      </c>
      <c r="L4" s="3" t="inlineStr">
        <is>
          <t>状态</t>
        </is>
      </c>
      <c r="M4" s="3" t="inlineStr">
        <is>
          <t>判定</t>
        </is>
      </c>
      <c r="N4" s="3" t="inlineStr">
        <is>
          <t>是否索赔</t>
        </is>
      </c>
      <c r="O4" s="3" t="inlineStr">
        <is>
          <t>备注</t>
        </is>
      </c>
    </row>
    <row r="5">
      <c r="A5" s="4" t="inlineStr">
        <is>
          <t>B-H1</t>
        </is>
      </c>
      <c r="B5" s="5" t="n">
        <v>46252</v>
      </c>
      <c r="C5" s="4" t="inlineStr">
        <is>
          <t>SKU-10399</t>
        </is>
      </c>
      <c r="D5" s="4" t="inlineStr">
        <is>
          <t>玻璃保鲜罐</t>
        </is>
      </c>
      <c r="E5" s="6" t="n">
        <v>400</v>
      </c>
      <c r="F5" s="6" t="n">
        <v>400</v>
      </c>
      <c r="G5" s="6" t="n">
        <v>400</v>
      </c>
      <c r="H5" s="6" t="n">
        <v>0</v>
      </c>
      <c r="I5" s="6">
        <f>E5-F5</f>
        <v/>
      </c>
      <c r="J5" s="7">
        <f>IF(E5=0,0,I5/E5)</f>
        <v/>
      </c>
      <c r="K5" s="6">
        <f>F5-G5</f>
        <v/>
      </c>
      <c r="L5" s="4" t="inlineStr">
        <is>
          <t>已结案</t>
        </is>
      </c>
      <c r="M5" s="4" t="inlineStr">
        <is>
          <t>已确认</t>
        </is>
      </c>
      <c r="N5" s="4" t="inlineStr">
        <is>
          <t>否</t>
        </is>
      </c>
      <c r="O5" s="8" t="inlineStr">
        <is>
          <t>历史批次</t>
        </is>
      </c>
    </row>
    <row r="6">
      <c r="A6" s="4" t="inlineStr">
        <is>
          <t>B-H2</t>
        </is>
      </c>
      <c r="B6" s="5" t="n">
        <v>46259</v>
      </c>
      <c r="C6" s="4" t="inlineStr">
        <is>
          <t>SKU-10399</t>
        </is>
      </c>
      <c r="D6" s="4" t="inlineStr">
        <is>
          <t>玻璃保鲜罐</t>
        </is>
      </c>
      <c r="E6" s="6" t="n">
        <v>350</v>
      </c>
      <c r="F6" s="6" t="n">
        <v>350</v>
      </c>
      <c r="G6" s="6" t="n">
        <v>350</v>
      </c>
      <c r="H6" s="6" t="n">
        <v>0</v>
      </c>
      <c r="I6" s="6">
        <f>E6-F6</f>
        <v/>
      </c>
      <c r="J6" s="7">
        <f>IF(E6=0,0,I6/E6)</f>
        <v/>
      </c>
      <c r="K6" s="6">
        <f>F6-G6</f>
        <v/>
      </c>
      <c r="L6" s="4" t="inlineStr">
        <is>
          <t>已结案</t>
        </is>
      </c>
      <c r="M6" s="4" t="inlineStr">
        <is>
          <t>已确认</t>
        </is>
      </c>
      <c r="N6" s="4" t="inlineStr">
        <is>
          <t>否</t>
        </is>
      </c>
      <c r="O6" s="8" t="inlineStr">
        <is>
          <t>历史批次</t>
        </is>
      </c>
    </row>
    <row r="7">
      <c r="A7" s="4" t="inlineStr">
        <is>
          <t>B-H3</t>
        </is>
      </c>
      <c r="B7" s="5" t="n">
        <v>46267</v>
      </c>
      <c r="C7" s="4" t="inlineStr">
        <is>
          <t>SKU-10288</t>
        </is>
      </c>
      <c r="D7" s="4" t="inlineStr">
        <is>
          <t>不锈钢水壶</t>
        </is>
      </c>
      <c r="E7" s="6" t="n">
        <v>500</v>
      </c>
      <c r="F7" s="6" t="n">
        <v>495</v>
      </c>
      <c r="G7" s="6" t="n">
        <v>495</v>
      </c>
      <c r="H7" s="6" t="n">
        <v>0</v>
      </c>
      <c r="I7" s="6">
        <f>E7-F7</f>
        <v/>
      </c>
      <c r="J7" s="7">
        <f>IF(E7=0,0,I7/E7)</f>
        <v/>
      </c>
      <c r="K7" s="6">
        <f>F7-G7</f>
        <v/>
      </c>
      <c r="L7" s="4" t="inlineStr">
        <is>
          <t>已结案</t>
        </is>
      </c>
      <c r="M7" s="4" t="inlineStr">
        <is>
          <t>已确认</t>
        </is>
      </c>
      <c r="N7" s="4" t="inlineStr">
        <is>
          <t>否</t>
        </is>
      </c>
      <c r="O7" s="8" t="inlineStr">
        <is>
          <t>历史批次</t>
        </is>
      </c>
    </row>
    <row r="8">
      <c r="A8" s="4" t="inlineStr">
        <is>
          <t>B-01</t>
        </is>
      </c>
      <c r="B8" s="5" t="n">
        <v>46286</v>
      </c>
      <c r="C8" s="4" t="inlineStr">
        <is>
          <t>SKU-10482</t>
        </is>
      </c>
      <c r="D8" s="4" t="inlineStr">
        <is>
          <t>保鲜盒组</t>
        </is>
      </c>
      <c r="E8" s="6" t="n">
        <v>800</v>
      </c>
      <c r="F8" s="6" t="n">
        <v>800</v>
      </c>
      <c r="G8" s="6" t="n">
        <v>800</v>
      </c>
      <c r="H8" s="6" t="n">
        <v>0</v>
      </c>
      <c r="I8" s="6">
        <f>E8-F8</f>
        <v/>
      </c>
      <c r="J8" s="7">
        <f>IF(E8=0,0,I8/E8)</f>
        <v/>
      </c>
      <c r="K8" s="6">
        <f>F8-G8</f>
        <v/>
      </c>
      <c r="L8" s="4" t="inlineStr">
        <is>
          <t>待判定</t>
        </is>
      </c>
      <c r="M8" s="4" t="n"/>
      <c r="N8" s="4" t="n"/>
      <c r="O8" s="8" t="n"/>
    </row>
    <row r="9">
      <c r="A9" s="4" t="inlineStr">
        <is>
          <t>B-02</t>
        </is>
      </c>
      <c r="B9" s="5" t="n">
        <v>46289</v>
      </c>
      <c r="C9" s="4" t="inlineStr">
        <is>
          <t>SKU-10482</t>
        </is>
      </c>
      <c r="D9" s="4" t="inlineStr">
        <is>
          <t>保鲜盒组</t>
        </is>
      </c>
      <c r="E9" s="6" t="n">
        <v>600</v>
      </c>
      <c r="F9" s="6" t="n">
        <v>600</v>
      </c>
      <c r="G9" s="6" t="n">
        <v>600</v>
      </c>
      <c r="H9" s="6" t="n">
        <v>0</v>
      </c>
      <c r="I9" s="6">
        <f>E9-F9</f>
        <v/>
      </c>
      <c r="J9" s="7">
        <f>IF(E9=0,0,I9/E9)</f>
        <v/>
      </c>
      <c r="K9" s="6">
        <f>F9-G9</f>
        <v/>
      </c>
      <c r="L9" s="4" t="inlineStr">
        <is>
          <t>待判定</t>
        </is>
      </c>
      <c r="M9" s="4" t="n"/>
      <c r="N9" s="4" t="n"/>
      <c r="O9" s="8" t="n"/>
    </row>
    <row r="10">
      <c r="A10" s="4" t="inlineStr">
        <is>
          <t>B-03</t>
        </is>
      </c>
      <c r="B10" s="5" t="n">
        <v>46293</v>
      </c>
      <c r="C10" s="4" t="inlineStr">
        <is>
          <t>SKU-10482</t>
        </is>
      </c>
      <c r="D10" s="4" t="inlineStr">
        <is>
          <t>保鲜盒组</t>
        </is>
      </c>
      <c r="E10" s="6" t="n">
        <v>1000</v>
      </c>
      <c r="F10" s="6" t="n">
        <v>1000</v>
      </c>
      <c r="G10" s="6" t="n">
        <v>900</v>
      </c>
      <c r="H10" s="6" t="n">
        <v>100</v>
      </c>
      <c r="I10" s="6">
        <f>E10-F10</f>
        <v/>
      </c>
      <c r="J10" s="7">
        <f>IF(E10=0,0,I10/E10)</f>
        <v/>
      </c>
      <c r="K10" s="6">
        <f>F10-G10</f>
        <v/>
      </c>
      <c r="L10" s="4" t="inlineStr">
        <is>
          <t>待判定</t>
        </is>
      </c>
      <c r="M10" s="4" t="n"/>
      <c r="N10" s="4" t="n"/>
      <c r="O10" s="8" t="n"/>
    </row>
    <row r="11">
      <c r="A11" s="4" t="inlineStr">
        <is>
          <t>B-04</t>
        </is>
      </c>
      <c r="B11" s="5" t="n">
        <v>46297</v>
      </c>
      <c r="C11" s="4" t="inlineStr">
        <is>
          <t>SKU-10517</t>
        </is>
      </c>
      <c r="D11" s="4" t="inlineStr">
        <is>
          <t>收纳篮</t>
        </is>
      </c>
      <c r="E11" s="6" t="n">
        <v>1200</v>
      </c>
      <c r="F11" s="6" t="n">
        <v>1130</v>
      </c>
      <c r="G11" s="6" t="n">
        <v>1130</v>
      </c>
      <c r="H11" s="6" t="n">
        <v>0</v>
      </c>
      <c r="I11" s="6">
        <f>E11-F11</f>
        <v/>
      </c>
      <c r="J11" s="7">
        <f>IF(E11=0,0,I11/E11)</f>
        <v/>
      </c>
      <c r="K11" s="6">
        <f>F11-G11</f>
        <v/>
      </c>
      <c r="L11" s="4" t="inlineStr">
        <is>
          <t>待判定</t>
        </is>
      </c>
      <c r="M11" s="4" t="n"/>
      <c r="N11" s="4" t="n"/>
      <c r="O11" s="8" t="n"/>
    </row>
    <row r="12">
      <c r="A12" s="4" t="inlineStr">
        <is>
          <t>B-05</t>
        </is>
      </c>
      <c r="B12" s="5" t="n">
        <v>46300</v>
      </c>
      <c r="C12" s="4" t="inlineStr">
        <is>
          <t>SKU-10517</t>
        </is>
      </c>
      <c r="D12" s="4" t="inlineStr">
        <is>
          <t>收纳篮</t>
        </is>
      </c>
      <c r="E12" s="6" t="n">
        <v>500</v>
      </c>
      <c r="F12" s="6" t="n">
        <v>500</v>
      </c>
      <c r="G12" s="6" t="n">
        <v>500</v>
      </c>
      <c r="H12" s="6" t="n">
        <v>0</v>
      </c>
      <c r="I12" s="6">
        <f>E12-F12</f>
        <v/>
      </c>
      <c r="J12" s="7">
        <f>IF(E12=0,0,I12/E12)</f>
        <v/>
      </c>
      <c r="K12" s="6">
        <f>F12-G12</f>
        <v/>
      </c>
      <c r="L12" s="4" t="inlineStr">
        <is>
          <t>待判定</t>
        </is>
      </c>
      <c r="M12" s="4" t="n"/>
      <c r="N12" s="4" t="n"/>
      <c r="O12" s="8" t="n"/>
    </row>
    <row r="13">
      <c r="A13" s="4" t="inlineStr">
        <is>
          <t>B-06</t>
        </is>
      </c>
      <c r="B13" s="5" t="n">
        <v>46303</v>
      </c>
      <c r="C13" s="4" t="inlineStr">
        <is>
          <t>SKU-10517</t>
        </is>
      </c>
      <c r="D13" s="4" t="inlineStr">
        <is>
          <t>收纳篮</t>
        </is>
      </c>
      <c r="E13" s="6" t="n">
        <v>900</v>
      </c>
      <c r="F13" s="6" t="n">
        <v>890</v>
      </c>
      <c r="G13" s="6" t="n">
        <v>890</v>
      </c>
      <c r="H13" s="6" t="n">
        <v>0</v>
      </c>
      <c r="I13" s="6">
        <f>E13-F13</f>
        <v/>
      </c>
      <c r="J13" s="7">
        <f>IF(E13=0,0,I13/E13)</f>
        <v/>
      </c>
      <c r="K13" s="6">
        <f>F13-G13</f>
        <v/>
      </c>
      <c r="L13" s="4" t="inlineStr">
        <is>
          <t>待判定</t>
        </is>
      </c>
      <c r="M13" s="4" t="n"/>
      <c r="N13" s="4" t="n"/>
      <c r="O13" s="8" t="n"/>
    </row>
    <row r="14">
      <c r="A14" s="4" t="inlineStr">
        <is>
          <t>B-07</t>
        </is>
      </c>
      <c r="B14" s="5" t="n">
        <v>46306</v>
      </c>
      <c r="C14" s="4" t="inlineStr">
        <is>
          <t>SKU-10482</t>
        </is>
      </c>
      <c r="D14" s="4" t="inlineStr">
        <is>
          <t>保鲜盒组</t>
        </is>
      </c>
      <c r="E14" s="6" t="n">
        <v>1200</v>
      </c>
      <c r="F14" s="6" t="n">
        <v>1200</v>
      </c>
      <c r="G14" s="6" t="n">
        <v>1080</v>
      </c>
      <c r="H14" s="6" t="n">
        <v>120</v>
      </c>
      <c r="I14" s="6">
        <f>E14-F14</f>
        <v/>
      </c>
      <c r="J14" s="7">
        <f>IF(E14=0,0,I14/E14)</f>
        <v/>
      </c>
      <c r="K14" s="6">
        <f>F14-G14</f>
        <v/>
      </c>
      <c r="L14" s="4" t="inlineStr">
        <is>
          <t>待判定</t>
        </is>
      </c>
      <c r="M14" s="4" t="n"/>
      <c r="N14" s="4" t="n"/>
      <c r="O14" s="8" t="n"/>
    </row>
    <row r="16">
      <c r="A16" s="9" t="inlineStr">
        <is>
          <t>摘要</t>
        </is>
      </c>
    </row>
    <row r="17">
      <c r="A17" s="10" t="inlineStr">
        <is>
          <t>本档期批次数</t>
        </is>
      </c>
      <c r="E17" s="10">
        <f>COUNTIF(L5:L14,"待判定")</f>
        <v/>
      </c>
    </row>
    <row r="18">
      <c r="A18" s="10" t="inlineStr">
        <is>
          <t>待判定短收总件数</t>
        </is>
      </c>
      <c r="E18" s="10">
        <f>SUMIF(L5:L14,"待判定",I5:I14)</f>
        <v/>
      </c>
    </row>
    <row r="19">
      <c r="A19" s="10" t="inlineStr">
        <is>
          <t>已判定可索赔件数</t>
        </is>
      </c>
      <c r="E19" s="10">
        <f>SUMIF(N5:N14,"是",I5:I14)</f>
        <v/>
      </c>
    </row>
  </sheetData>
  <autoFilter ref="A4:O14"/>
  <conditionalFormatting sqref="K5:K14">
    <cfRule type="cellIs" priority="1" operator="greaterThan" dxfId="0">
      <formula>0</formula>
    </cfRule>
  </conditionalFormatting>
  <conditionalFormatting sqref="I5:I14">
    <cfRule type="cellIs" priority="2" operator="greaterThan" dxfId="1">
      <formula>0</formula>
    </cfRule>
  </conditionalFormatting>
  <dataValidations count="1">
    <dataValidation sqref="N5:N14" showDropDown="0" showInputMessage="0" showErrorMessage="0" allowBlank="1" type="list">
      <formula1>"是,否,待确认"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</cols>
  <sheetData>
    <row r="1">
      <c r="A1" s="1" t="inlineStr">
        <is>
          <t>Zava 零售　供应商短收索赔规则</t>
        </is>
      </c>
    </row>
    <row r="2">
      <c r="A2" s="2" t="inlineStr">
        <is>
          <t>依据采购合同第 7.3 条；版本 2026-07-01；承办：库存与收货控制组</t>
        </is>
      </c>
    </row>
    <row r="4" ht="24" customHeight="1">
      <c r="A4" s="3" t="inlineStr">
        <is>
          <t>规则项目</t>
        </is>
      </c>
      <c r="B4" s="3" t="inlineStr">
        <is>
          <t>门槛</t>
        </is>
      </c>
      <c r="C4" s="3" t="inlineStr">
        <is>
          <t>说明</t>
        </is>
      </c>
    </row>
    <row r="5">
      <c r="A5" s="4" t="inlineStr">
        <is>
          <t>最低短收件数</t>
        </is>
      </c>
      <c r="B5" s="4" t="n">
        <v>50</v>
      </c>
      <c r="C5" s="8" t="inlineStr">
        <is>
          <t>短收件数（ASN 数量 − 收货数量）达到此值即可索赔</t>
        </is>
      </c>
    </row>
    <row r="6">
      <c r="A6" s="4" t="inlineStr">
        <is>
          <t>最低短收比例</t>
        </is>
      </c>
      <c r="B6" s="11" t="n">
        <v>0.05</v>
      </c>
      <c r="C6" s="8" t="inlineStr">
        <is>
          <t>短收比例达到此值亦可索赔（两者任一成立）</t>
        </is>
      </c>
    </row>
    <row r="7">
      <c r="A7" s="4" t="inlineStr">
        <is>
          <t>索赔时限</t>
        </is>
      </c>
      <c r="B7" s="4" t="inlineStr">
        <is>
          <t>收货后 30 日内提出</t>
        </is>
      </c>
      <c r="C7" s="8" t="inlineStr">
        <is>
          <t>逾期视为接受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6" customWidth="1" min="4" max="4"/>
    <col width="20" customWidth="1" min="5" max="5"/>
    <col width="34" customWidth="1" min="6" max="6"/>
  </cols>
  <sheetData>
    <row r="1">
      <c r="A1" s="1" t="inlineStr">
        <is>
          <t>供应商主数据</t>
        </is>
      </c>
    </row>
    <row r="3" ht="24" customHeight="1">
      <c r="A3" s="3" t="inlineStr">
        <is>
          <t>供应商代号</t>
        </is>
      </c>
      <c r="B3" s="3" t="inlineStr">
        <is>
          <t>名称</t>
        </is>
      </c>
      <c r="C3" s="3" t="inlineStr">
        <is>
          <t>窗口</t>
        </is>
      </c>
      <c r="D3" s="3" t="inlineStr">
        <is>
          <t>付款条件</t>
        </is>
      </c>
      <c r="E3" s="3" t="inlineStr">
        <is>
          <t>索赔邮箱</t>
        </is>
      </c>
      <c r="F3" s="3" t="inlineStr">
        <is>
          <t>备注</t>
        </is>
      </c>
    </row>
    <row r="4">
      <c r="A4" s="4" t="inlineStr">
        <is>
          <t>V-2041</t>
        </is>
      </c>
      <c r="B4" s="4" t="inlineStr">
        <is>
          <t>Northwind Foods</t>
        </is>
      </c>
      <c r="C4" s="4" t="inlineStr">
        <is>
          <t>(填供应商窗口)</t>
        </is>
      </c>
      <c r="D4" s="4" t="inlineStr">
        <is>
          <t>月结 45 天</t>
        </is>
      </c>
      <c r="E4" s="4" t="inlineStr">
        <is>
          <t>(填索赔邮箱)</t>
        </is>
      </c>
      <c r="F4" s="4" t="inlineStr">
        <is>
          <t>周年庆主力供应商</t>
        </is>
      </c>
    </row>
    <row r="5">
      <c r="A5" s="4" t="inlineStr">
        <is>
          <t>V-1187</t>
        </is>
      </c>
      <c r="B5" s="4" t="inlineStr">
        <is>
          <t>Contoso Home Goods</t>
        </is>
      </c>
      <c r="C5" s="4" t="inlineStr">
        <is>
          <t>(填供应商窗口)</t>
        </is>
      </c>
      <c r="D5" s="4" t="inlineStr">
        <is>
          <t>月结 60 天</t>
        </is>
      </c>
      <c r="E5" s="4" t="inlineStr">
        <is>
          <t>(填索赔邮箱)</t>
        </is>
      </c>
      <c r="F5" s="4" t="inlineStr">
        <is>
          <t>本档期无进货</t>
        </is>
      </c>
    </row>
    <row r="6">
      <c r="A6" s="4" t="inlineStr">
        <is>
          <t>V-1530</t>
        </is>
      </c>
      <c r="B6" s="4" t="inlineStr">
        <is>
          <t>Fabrikam Kitchenware</t>
        </is>
      </c>
      <c r="C6" s="4" t="inlineStr">
        <is>
          <t>(填供应商窗口)</t>
        </is>
      </c>
      <c r="D6" s="4" t="inlineStr">
        <is>
          <t>月结 30 天</t>
        </is>
      </c>
      <c r="E6" s="4" t="inlineStr">
        <is>
          <t>(填索赔邮箱)</t>
        </is>
      </c>
      <c r="F6" s="4" t="inlineStr">
        <is>
          <t>本档期无进货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ASN 明细（预先发货通知，行级）</t>
        </is>
      </c>
    </row>
    <row r="3" ht="24" customHeight="1">
      <c r="A3" s="3" t="inlineStr">
        <is>
          <t>批次</t>
        </is>
      </c>
      <c r="B3" s="3" t="inlineStr">
        <is>
          <t>ASN 单号</t>
        </is>
      </c>
      <c r="C3" s="3" t="inlineStr">
        <is>
          <t>行项</t>
        </is>
      </c>
      <c r="D3" s="3" t="inlineStr">
        <is>
          <t>SKU</t>
        </is>
      </c>
      <c r="E3" s="3" t="inlineStr">
        <is>
          <t>ASN 数量</t>
        </is>
      </c>
      <c r="F3" s="3" t="inlineStr">
        <is>
          <t>备注</t>
        </is>
      </c>
    </row>
    <row r="4">
      <c r="A4" s="4" t="inlineStr">
        <is>
          <t>B-01</t>
        </is>
      </c>
      <c r="B4" s="4" t="inlineStr">
        <is>
          <t>ASN-0101</t>
        </is>
      </c>
      <c r="C4" s="4" t="n">
        <v>1</v>
      </c>
      <c r="D4" s="4" t="inlineStr">
        <is>
          <t>SKU-10482</t>
        </is>
      </c>
      <c r="E4" s="6" t="n">
        <v>400</v>
      </c>
      <c r="F4" s="4" t="n"/>
    </row>
    <row r="5">
      <c r="A5" s="4" t="inlineStr">
        <is>
          <t>B-01</t>
        </is>
      </c>
      <c r="B5" s="4" t="inlineStr">
        <is>
          <t>ASN-0101</t>
        </is>
      </c>
      <c r="C5" s="4" t="n">
        <v>2</v>
      </c>
      <c r="D5" s="4" t="inlineStr">
        <is>
          <t>SKU-10482</t>
        </is>
      </c>
      <c r="E5" s="6" t="n">
        <v>400</v>
      </c>
      <c r="F5" s="4" t="n"/>
    </row>
    <row r="6">
      <c r="A6" s="4" t="inlineStr">
        <is>
          <t>B-02</t>
        </is>
      </c>
      <c r="B6" s="4" t="inlineStr">
        <is>
          <t>ASN-0201</t>
        </is>
      </c>
      <c r="C6" s="4" t="n">
        <v>1</v>
      </c>
      <c r="D6" s="4" t="inlineStr">
        <is>
          <t>SKU-10482</t>
        </is>
      </c>
      <c r="E6" s="6" t="n">
        <v>300</v>
      </c>
      <c r="F6" s="4" t="n"/>
    </row>
    <row r="7">
      <c r="A7" s="4" t="inlineStr">
        <is>
          <t>B-02</t>
        </is>
      </c>
      <c r="B7" s="4" t="inlineStr">
        <is>
          <t>ASN-0201</t>
        </is>
      </c>
      <c r="C7" s="4" t="n">
        <v>2</v>
      </c>
      <c r="D7" s="4" t="inlineStr">
        <is>
          <t>SKU-10482</t>
        </is>
      </c>
      <c r="E7" s="6" t="n">
        <v>300</v>
      </c>
      <c r="F7" s="4" t="n"/>
    </row>
    <row r="8">
      <c r="A8" s="4" t="inlineStr">
        <is>
          <t>B-03</t>
        </is>
      </c>
      <c r="B8" s="4" t="inlineStr">
        <is>
          <t>ASN-0301</t>
        </is>
      </c>
      <c r="C8" s="4" t="n">
        <v>1</v>
      </c>
      <c r="D8" s="4" t="inlineStr">
        <is>
          <t>SKU-10482</t>
        </is>
      </c>
      <c r="E8" s="6" t="n">
        <v>500</v>
      </c>
      <c r="F8" s="4" t="n"/>
    </row>
    <row r="9">
      <c r="A9" s="4" t="inlineStr">
        <is>
          <t>B-03</t>
        </is>
      </c>
      <c r="B9" s="4" t="inlineStr">
        <is>
          <t>ASN-0301</t>
        </is>
      </c>
      <c r="C9" s="4" t="n">
        <v>2</v>
      </c>
      <c r="D9" s="4" t="inlineStr">
        <is>
          <t>SKU-10482</t>
        </is>
      </c>
      <c r="E9" s="6" t="n">
        <v>500</v>
      </c>
      <c r="F9" s="4" t="inlineStr">
        <is>
          <t>含档期赠品</t>
        </is>
      </c>
    </row>
    <row r="10">
      <c r="A10" s="4" t="inlineStr">
        <is>
          <t>B-04</t>
        </is>
      </c>
      <c r="B10" s="4" t="inlineStr">
        <is>
          <t>ASN-0401</t>
        </is>
      </c>
      <c r="C10" s="4" t="n">
        <v>1</v>
      </c>
      <c r="D10" s="4" t="inlineStr">
        <is>
          <t>SKU-10517</t>
        </is>
      </c>
      <c r="E10" s="6" t="n">
        <v>600</v>
      </c>
      <c r="F10" s="4" t="n"/>
    </row>
    <row r="11">
      <c r="A11" s="4" t="inlineStr">
        <is>
          <t>B-04</t>
        </is>
      </c>
      <c r="B11" s="4" t="inlineStr">
        <is>
          <t>ASN-0401</t>
        </is>
      </c>
      <c r="C11" s="4" t="n">
        <v>2</v>
      </c>
      <c r="D11" s="4" t="inlineStr">
        <is>
          <t>SKU-10517</t>
        </is>
      </c>
      <c r="E11" s="6" t="n">
        <v>600</v>
      </c>
      <c r="F11" s="4" t="n"/>
    </row>
    <row r="12">
      <c r="A12" s="4" t="inlineStr">
        <is>
          <t>B-05</t>
        </is>
      </c>
      <c r="B12" s="4" t="inlineStr">
        <is>
          <t>ASN-0501</t>
        </is>
      </c>
      <c r="C12" s="4" t="n">
        <v>1</v>
      </c>
      <c r="D12" s="4" t="inlineStr">
        <is>
          <t>SKU-10517</t>
        </is>
      </c>
      <c r="E12" s="6" t="n">
        <v>250</v>
      </c>
      <c r="F12" s="4" t="n"/>
    </row>
    <row r="13">
      <c r="A13" s="4" t="inlineStr">
        <is>
          <t>B-05</t>
        </is>
      </c>
      <c r="B13" s="4" t="inlineStr">
        <is>
          <t>ASN-0501</t>
        </is>
      </c>
      <c r="C13" s="4" t="n">
        <v>2</v>
      </c>
      <c r="D13" s="4" t="inlineStr">
        <is>
          <t>SKU-10517</t>
        </is>
      </c>
      <c r="E13" s="6" t="n">
        <v>250</v>
      </c>
      <c r="F13" s="4" t="n"/>
    </row>
    <row r="14">
      <c r="A14" s="4" t="inlineStr">
        <is>
          <t>B-06</t>
        </is>
      </c>
      <c r="B14" s="4" t="inlineStr">
        <is>
          <t>ASN-0601</t>
        </is>
      </c>
      <c r="C14" s="4" t="n">
        <v>1</v>
      </c>
      <c r="D14" s="4" t="inlineStr">
        <is>
          <t>SKU-10517</t>
        </is>
      </c>
      <c r="E14" s="6" t="n">
        <v>450</v>
      </c>
      <c r="F14" s="4" t="n"/>
    </row>
    <row r="15">
      <c r="A15" s="4" t="inlineStr">
        <is>
          <t>B-06</t>
        </is>
      </c>
      <c r="B15" s="4" t="inlineStr">
        <is>
          <t>ASN-0601</t>
        </is>
      </c>
      <c r="C15" s="4" t="n">
        <v>2</v>
      </c>
      <c r="D15" s="4" t="inlineStr">
        <is>
          <t>SKU-10517</t>
        </is>
      </c>
      <c r="E15" s="6" t="n">
        <v>450</v>
      </c>
      <c r="F15" s="4" t="n"/>
    </row>
    <row r="16">
      <c r="A16" s="4" t="inlineStr">
        <is>
          <t>B-07</t>
        </is>
      </c>
      <c r="B16" s="4" t="inlineStr">
        <is>
          <t>ASN-0701</t>
        </is>
      </c>
      <c r="C16" s="4" t="n">
        <v>1</v>
      </c>
      <c r="D16" s="4" t="inlineStr">
        <is>
          <t>SKU-10482</t>
        </is>
      </c>
      <c r="E16" s="6" t="n">
        <v>600</v>
      </c>
      <c r="F16" s="4" t="n"/>
    </row>
    <row r="17">
      <c r="A17" s="4" t="inlineStr">
        <is>
          <t>B-07</t>
        </is>
      </c>
      <c r="B17" s="4" t="inlineStr">
        <is>
          <t>ASN-0701</t>
        </is>
      </c>
      <c r="C17" s="4" t="n">
        <v>2</v>
      </c>
      <c r="D17" s="4" t="inlineStr">
        <is>
          <t>SKU-10482</t>
        </is>
      </c>
      <c r="E17" s="6" t="n">
        <v>600</v>
      </c>
      <c r="F17" s="4" t="inlineStr">
        <is>
          <t>含档期赠品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