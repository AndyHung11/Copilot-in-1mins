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 Detail" sheetId="1" state="visible" r:id="rId1"/>
    <sheet xmlns:r="http://schemas.openxmlformats.org/officeDocument/2006/relationships" name="Hours Summary" sheetId="2" state="visible" r:id="rId2"/>
    <sheet xmlns:r="http://schemas.openxmlformats.org/officeDocument/2006/relationships" name="Shift Codes" sheetId="3" state="visible" r:id="rId3"/>
    <sheet xmlns:r="http://schemas.openxmlformats.org/officeDocument/2006/relationships" name="Change Log" sheetId="4" state="visible" r:id="rId4"/>
  </sheets>
  <definedNames>
    <definedName name="_xlnm._FilterDatabase" localSheetId="0" hidden="1">'Roster Detail'!$A$4:$M$85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hh:mm"/>
    <numFmt numFmtId="166" formatCode="0.0"/>
    <numFmt numFmtId="167" formatCode="0.0%"/>
  </numFmts>
  <fonts count="5">
    <font>
      <name val="Calibri"/>
      <family val="2"/>
      <color theme="1"/>
      <sz val="11"/>
      <scheme val="minor"/>
    </font>
    <font>
      <name val="Segoe UI"/>
      <b val="1"/>
      <color rgb="00142B4D"/>
      <sz val="14"/>
    </font>
    <font>
      <name val="Segoe UI"/>
      <color rgb="005F6B7A"/>
      <sz val="9"/>
    </font>
    <font>
      <name val="Segoe UI"/>
      <b val="1"/>
      <color rgb="00FFFFFF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4" fillId="0" borderId="1" pivotButton="0" quotePrefix="0" xfId="0"/>
    <xf numFmtId="0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8D7DA"/>
          <bgColor rgb="00F8D7DA"/>
        </patternFill>
      </fill>
    </dxf>
    <dxf>
      <fill>
        <patternFill patternType="solid">
          <fgColor rgb="00E5E7EB"/>
          <bgColor rgb="00E5E7EB"/>
        </patternFill>
      </fill>
    </dxf>
    <dxf>
      <fill>
        <patternFill patternType="solid">
          <fgColor rgb="00FFF4CE"/>
          <bgColor rgb="00FFF4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2" customWidth="1" min="5" max="5"/>
    <col width="6" customWidth="1" min="6" max="6"/>
    <col width="18" customWidth="1" min="7" max="7"/>
    <col width="10" customWidth="1" min="8" max="8"/>
    <col width="8" customWidth="1" min="9" max="9"/>
    <col width="8" customWidth="1" min="10" max="10"/>
    <col width="9" customWidth="1" min="11" max="11"/>
    <col width="20" customWidth="1" min="12" max="12"/>
    <col width="46" customWidth="1" min="13" max="13"/>
  </cols>
  <sheetData>
    <row r="1">
      <c r="A1" s="1" t="inlineStr">
        <is>
          <t>Zava Retail  Store Shift Roster (WFM export)</t>
        </is>
      </c>
    </row>
    <row r="2">
      <c r="A2" s="2" t="inlineStr">
        <is>
          <t>Doc. No. HR-WFM-RS-2611  Version v3  As-of date 2026-11-03  Owner: Store Operations  Scope: S031 for 11-04 to 11-08; S008 and S042 for 11-06 only</t>
        </is>
      </c>
    </row>
    <row r="4" ht="30" customHeight="1">
      <c r="A4" s="3" t="inlineStr">
        <is>
          <t>Date</t>
        </is>
      </c>
      <c r="B4" s="3" t="inlineStr">
        <is>
          <t>Store Code</t>
        </is>
      </c>
      <c r="C4" s="3" t="inlineStr">
        <is>
          <t>Store Name</t>
        </is>
      </c>
      <c r="D4" s="3" t="inlineStr">
        <is>
          <t>Group</t>
        </is>
      </c>
      <c r="E4" s="3" t="inlineStr">
        <is>
          <t>Employee ID</t>
        </is>
      </c>
      <c r="F4" s="3" t="inlineStr">
        <is>
          <t>Tag</t>
        </is>
      </c>
      <c r="G4" s="3" t="inlineStr">
        <is>
          <t>Name</t>
        </is>
      </c>
      <c r="H4" s="3" t="inlineStr">
        <is>
          <t>Shift Code</t>
        </is>
      </c>
      <c r="I4" s="3" t="inlineStr">
        <is>
          <t>Start</t>
        </is>
      </c>
      <c r="J4" s="3" t="inlineStr">
        <is>
          <t>End</t>
        </is>
      </c>
      <c r="K4" s="3" t="inlineStr">
        <is>
          <t>Hours</t>
        </is>
      </c>
      <c r="L4" s="3" t="inlineStr">
        <is>
          <t>Attendance</t>
        </is>
      </c>
      <c r="M4" s="3" t="inlineStr">
        <is>
          <t>Remarks</t>
        </is>
      </c>
    </row>
    <row r="5">
      <c r="A5" s="4" t="n">
        <v>46330</v>
      </c>
      <c r="B5" s="5" t="inlineStr">
        <is>
          <t>S031</t>
        </is>
      </c>
      <c r="C5" s="5" t="inlineStr">
        <is>
          <t>Taipei Neihu</t>
        </is>
      </c>
      <c r="D5" s="5" t="inlineStr">
        <is>
          <t>Pickup Desk</t>
        </is>
      </c>
      <c r="E5" s="5" t="inlineStr">
        <is>
          <t>Z10231</t>
        </is>
      </c>
      <c r="F5" s="5" t="inlineStr">
        <is>
          <t>A</t>
        </is>
      </c>
      <c r="G5" s="5" t="inlineStr">
        <is>
          <t>Mei-Ling Lee</t>
        </is>
      </c>
      <c r="H5" s="5" t="inlineStr">
        <is>
          <t>E1</t>
        </is>
      </c>
      <c r="I5" s="6" t="n">
        <v>0.375</v>
      </c>
      <c r="J5" s="6" t="n">
        <v>0.7083333333333334</v>
      </c>
      <c r="K5" s="7">
        <f>(J5-I5)*24</f>
        <v/>
      </c>
      <c r="L5" s="5" t="inlineStr">
        <is>
          <t>On site</t>
        </is>
      </c>
      <c r="M5" s="5" t="inlineStr"/>
    </row>
    <row r="6">
      <c r="A6" s="4" t="n">
        <v>46330</v>
      </c>
      <c r="B6" s="5" t="inlineStr">
        <is>
          <t>S031</t>
        </is>
      </c>
      <c r="C6" s="5" t="inlineStr">
        <is>
          <t>Taipei Neihu</t>
        </is>
      </c>
      <c r="D6" s="5" t="inlineStr">
        <is>
          <t>Pickup Desk</t>
        </is>
      </c>
      <c r="E6" s="5" t="inlineStr">
        <is>
          <t>Z10232</t>
        </is>
      </c>
      <c r="F6" s="5" t="inlineStr">
        <is>
          <t>B</t>
        </is>
      </c>
      <c r="G6" s="5" t="inlineStr">
        <is>
          <t>Chien-Hung Wang</t>
        </is>
      </c>
      <c r="H6" s="5" t="inlineStr">
        <is>
          <t>E2</t>
        </is>
      </c>
      <c r="I6" s="6" t="n">
        <v>0.375</v>
      </c>
      <c r="J6" s="6" t="n">
        <v>0.75</v>
      </c>
      <c r="K6" s="7">
        <f>(J6-I6)*24</f>
        <v/>
      </c>
      <c r="L6" s="5" t="inlineStr">
        <is>
          <t>On site</t>
        </is>
      </c>
      <c r="M6" s="5" t="inlineStr"/>
    </row>
    <row r="7">
      <c r="A7" s="4" t="n">
        <v>46330</v>
      </c>
      <c r="B7" s="5" t="inlineStr">
        <is>
          <t>S031</t>
        </is>
      </c>
      <c r="C7" s="5" t="inlineStr">
        <is>
          <t>Taipei Neihu</t>
        </is>
      </c>
      <c r="D7" s="5" t="inlineStr">
        <is>
          <t>Pickup Desk</t>
        </is>
      </c>
      <c r="E7" s="5" t="inlineStr">
        <is>
          <t>Z10233</t>
        </is>
      </c>
      <c r="F7" s="5" t="inlineStr">
        <is>
          <t>C</t>
        </is>
      </c>
      <c r="G7" s="5" t="inlineStr">
        <is>
          <t>Chia-Ying Wu</t>
        </is>
      </c>
      <c r="H7" s="5" t="inlineStr">
        <is>
          <t>M3</t>
        </is>
      </c>
      <c r="I7" s="6" t="n">
        <v>0.4166666666666667</v>
      </c>
      <c r="J7" s="6" t="n">
        <v>0.7916666666666666</v>
      </c>
      <c r="K7" s="7">
        <f>(J7-I7)*24</f>
        <v/>
      </c>
      <c r="L7" s="5" t="inlineStr">
        <is>
          <t>On site</t>
        </is>
      </c>
      <c r="M7" s="5" t="inlineStr"/>
    </row>
    <row r="8">
      <c r="A8" s="4" t="n">
        <v>46330</v>
      </c>
      <c r="B8" s="5" t="inlineStr">
        <is>
          <t>S031</t>
        </is>
      </c>
      <c r="C8" s="5" t="inlineStr">
        <is>
          <t>Taipei Neihu</t>
        </is>
      </c>
      <c r="D8" s="5" t="inlineStr">
        <is>
          <t>Pickup Desk</t>
        </is>
      </c>
      <c r="E8" s="5" t="inlineStr">
        <is>
          <t>Z10234</t>
        </is>
      </c>
      <c r="F8" s="5" t="inlineStr">
        <is>
          <t>D</t>
        </is>
      </c>
      <c r="G8" s="5" t="inlineStr">
        <is>
          <t>Chih-Wei Hsu</t>
        </is>
      </c>
      <c r="H8" s="5" t="inlineStr">
        <is>
          <t>M1</t>
        </is>
      </c>
      <c r="I8" s="6" t="n">
        <v>0.4166666666666667</v>
      </c>
      <c r="J8" s="6" t="n">
        <v>0.75</v>
      </c>
      <c r="K8" s="7">
        <f>(J8-I8)*24</f>
        <v/>
      </c>
      <c r="L8" s="5" t="inlineStr">
        <is>
          <t>On site</t>
        </is>
      </c>
      <c r="M8" s="5" t="inlineStr"/>
    </row>
    <row r="9">
      <c r="A9" s="4" t="n">
        <v>46330</v>
      </c>
      <c r="B9" s="5" t="inlineStr">
        <is>
          <t>S031</t>
        </is>
      </c>
      <c r="C9" s="5" t="inlineStr">
        <is>
          <t>Taipei Neihu</t>
        </is>
      </c>
      <c r="D9" s="5" t="inlineStr">
        <is>
          <t>Pickup Desk</t>
        </is>
      </c>
      <c r="E9" s="5" t="inlineStr">
        <is>
          <t>Z10235</t>
        </is>
      </c>
      <c r="F9" s="5" t="inlineStr">
        <is>
          <t>E</t>
        </is>
      </c>
      <c r="G9" s="5" t="inlineStr">
        <is>
          <t>Ya-Wen Cheng</t>
        </is>
      </c>
      <c r="H9" s="5" t="inlineStr">
        <is>
          <t>L2</t>
        </is>
      </c>
      <c r="I9" s="6" t="n">
        <v>0.5833333333333334</v>
      </c>
      <c r="J9" s="6" t="n">
        <v>0.9166666666666666</v>
      </c>
      <c r="K9" s="7">
        <f>(J9-I9)*24</f>
        <v/>
      </c>
      <c r="L9" s="5" t="inlineStr">
        <is>
          <t>On site</t>
        </is>
      </c>
      <c r="M9" s="5" t="inlineStr"/>
    </row>
    <row r="10">
      <c r="A10" s="4" t="n">
        <v>46330</v>
      </c>
      <c r="B10" s="5" t="inlineStr">
        <is>
          <t>S031</t>
        </is>
      </c>
      <c r="C10" s="5" t="inlineStr">
        <is>
          <t>Taipei Neihu</t>
        </is>
      </c>
      <c r="D10" s="5" t="inlineStr">
        <is>
          <t>Pickup Desk</t>
        </is>
      </c>
      <c r="E10" s="5" t="inlineStr">
        <is>
          <t>Z10236</t>
        </is>
      </c>
      <c r="F10" s="5" t="inlineStr">
        <is>
          <t>F</t>
        </is>
      </c>
      <c r="G10" s="5" t="inlineStr">
        <is>
          <t>Tsung-Han Tsai</t>
        </is>
      </c>
      <c r="H10" s="5" t="inlineStr">
        <is>
          <t>L1</t>
        </is>
      </c>
      <c r="I10" s="6" t="n">
        <v>0.5416666666666666</v>
      </c>
      <c r="J10" s="6" t="n">
        <v>0.9166666666666666</v>
      </c>
      <c r="K10" s="7">
        <f>(J10-I10)*24</f>
        <v/>
      </c>
      <c r="L10" s="5" t="inlineStr">
        <is>
          <t>On site</t>
        </is>
      </c>
      <c r="M10" s="5" t="inlineStr"/>
    </row>
    <row r="11">
      <c r="A11" s="4" t="n">
        <v>46330</v>
      </c>
      <c r="B11" s="5" t="inlineStr">
        <is>
          <t>S031</t>
        </is>
      </c>
      <c r="C11" s="5" t="inlineStr">
        <is>
          <t>Taipei Neihu</t>
        </is>
      </c>
      <c r="D11" s="5" t="inlineStr">
        <is>
          <t>Sales Floor</t>
        </is>
      </c>
      <c r="E11" s="5" t="inlineStr">
        <is>
          <t>Z10237</t>
        </is>
      </c>
      <c r="F11" s="5" t="inlineStr"/>
      <c r="G11" s="5" t="inlineStr">
        <is>
          <t>Yi-An Lin</t>
        </is>
      </c>
      <c r="H11" s="5" t="inlineStr">
        <is>
          <t>E1</t>
        </is>
      </c>
      <c r="I11" s="6" t="n">
        <v>0.375</v>
      </c>
      <c r="J11" s="6" t="n">
        <v>0.7083333333333334</v>
      </c>
      <c r="K11" s="7">
        <f>(J11-I11)*24</f>
        <v/>
      </c>
      <c r="L11" s="5" t="inlineStr">
        <is>
          <t>On site</t>
        </is>
      </c>
      <c r="M11" s="5" t="inlineStr"/>
    </row>
    <row r="12">
      <c r="A12" s="4" t="n">
        <v>46330</v>
      </c>
      <c r="B12" s="5" t="inlineStr">
        <is>
          <t>S031</t>
        </is>
      </c>
      <c r="C12" s="5" t="inlineStr">
        <is>
          <t>Taipei Neihu</t>
        </is>
      </c>
      <c r="D12" s="5" t="inlineStr">
        <is>
          <t>Sales Floor</t>
        </is>
      </c>
      <c r="E12" s="5" t="inlineStr">
        <is>
          <t>Z10238</t>
        </is>
      </c>
      <c r="F12" s="5" t="inlineStr"/>
      <c r="G12" s="5" t="inlineStr">
        <is>
          <t>Chun-Chieh Chang</t>
        </is>
      </c>
      <c r="H12" s="5" t="inlineStr">
        <is>
          <t>E1</t>
        </is>
      </c>
      <c r="I12" s="6" t="n">
        <v>0.375</v>
      </c>
      <c r="J12" s="6" t="n">
        <v>0.7083333333333334</v>
      </c>
      <c r="K12" s="7">
        <f>(J12-I12)*24</f>
        <v/>
      </c>
      <c r="L12" s="5" t="inlineStr">
        <is>
          <t>On site</t>
        </is>
      </c>
      <c r="M12" s="5" t="inlineStr"/>
    </row>
    <row r="13">
      <c r="A13" s="4" t="n">
        <v>46330</v>
      </c>
      <c r="B13" s="5" t="inlineStr">
        <is>
          <t>S031</t>
        </is>
      </c>
      <c r="C13" s="5" t="inlineStr">
        <is>
          <t>Taipei Neihu</t>
        </is>
      </c>
      <c r="D13" s="5" t="inlineStr">
        <is>
          <t>Sales Floor</t>
        </is>
      </c>
      <c r="E13" s="5" t="inlineStr">
        <is>
          <t>Z10239</t>
        </is>
      </c>
      <c r="F13" s="5" t="inlineStr"/>
      <c r="G13" s="5" t="inlineStr">
        <is>
          <t>Kuan-Ting Liu</t>
        </is>
      </c>
      <c r="H13" s="5" t="inlineStr">
        <is>
          <t>M1</t>
        </is>
      </c>
      <c r="I13" s="6" t="n">
        <v>0.4166666666666667</v>
      </c>
      <c r="J13" s="6" t="n">
        <v>0.75</v>
      </c>
      <c r="K13" s="7">
        <f>(J13-I13)*24</f>
        <v/>
      </c>
      <c r="L13" s="5" t="inlineStr">
        <is>
          <t>On site</t>
        </is>
      </c>
      <c r="M13" s="5" t="inlineStr"/>
    </row>
    <row r="14">
      <c r="A14" s="4" t="n">
        <v>46330</v>
      </c>
      <c r="B14" s="5" t="inlineStr">
        <is>
          <t>S031</t>
        </is>
      </c>
      <c r="C14" s="5" t="inlineStr">
        <is>
          <t>Taipei Neihu</t>
        </is>
      </c>
      <c r="D14" s="5" t="inlineStr">
        <is>
          <t>Checkout</t>
        </is>
      </c>
      <c r="E14" s="5" t="inlineStr">
        <is>
          <t>Z10240</t>
        </is>
      </c>
      <c r="F14" s="5" t="inlineStr"/>
      <c r="G14" s="5" t="inlineStr">
        <is>
          <t>Shu-Hua Yang</t>
        </is>
      </c>
      <c r="H14" s="5" t="inlineStr">
        <is>
          <t>M1</t>
        </is>
      </c>
      <c r="I14" s="6" t="n">
        <v>0.4166666666666667</v>
      </c>
      <c r="J14" s="6" t="n">
        <v>0.75</v>
      </c>
      <c r="K14" s="7">
        <f>(J14-I14)*24</f>
        <v/>
      </c>
      <c r="L14" s="5" t="inlineStr">
        <is>
          <t>On site</t>
        </is>
      </c>
      <c r="M14" s="5" t="inlineStr"/>
    </row>
    <row r="15">
      <c r="A15" s="4" t="n">
        <v>46330</v>
      </c>
      <c r="B15" s="5" t="inlineStr">
        <is>
          <t>S031</t>
        </is>
      </c>
      <c r="C15" s="5" t="inlineStr">
        <is>
          <t>Taipei Neihu</t>
        </is>
      </c>
      <c r="D15" s="5" t="inlineStr">
        <is>
          <t>Checkout</t>
        </is>
      </c>
      <c r="E15" s="5" t="inlineStr">
        <is>
          <t>Z10241</t>
        </is>
      </c>
      <c r="F15" s="5" t="inlineStr"/>
      <c r="G15" s="5" t="inlineStr">
        <is>
          <t>Po-Han Huang</t>
        </is>
      </c>
      <c r="H15" s="5" t="inlineStr">
        <is>
          <t>L2</t>
        </is>
      </c>
      <c r="I15" s="6" t="n">
        <v>0.5833333333333334</v>
      </c>
      <c r="J15" s="6" t="n">
        <v>0.9166666666666666</v>
      </c>
      <c r="K15" s="7">
        <f>(J15-I15)*24</f>
        <v/>
      </c>
      <c r="L15" s="5" t="inlineStr">
        <is>
          <t>On site</t>
        </is>
      </c>
      <c r="M15" s="5" t="inlineStr"/>
    </row>
    <row r="16">
      <c r="A16" s="4" t="n">
        <v>46330</v>
      </c>
      <c r="B16" s="5" t="inlineStr">
        <is>
          <t>S031</t>
        </is>
      </c>
      <c r="C16" s="5" t="inlineStr">
        <is>
          <t>Taipei Neihu</t>
        </is>
      </c>
      <c r="D16" s="5" t="inlineStr">
        <is>
          <t>Back Office</t>
        </is>
      </c>
      <c r="E16" s="5" t="inlineStr">
        <is>
          <t>Z10242</t>
        </is>
      </c>
      <c r="F16" s="5" t="inlineStr"/>
      <c r="G16" s="5" t="inlineStr">
        <is>
          <t>Hsin-Yi Chou</t>
        </is>
      </c>
      <c r="H16" s="5" t="inlineStr">
        <is>
          <t>L2</t>
        </is>
      </c>
      <c r="I16" s="6" t="n">
        <v>0.5833333333333334</v>
      </c>
      <c r="J16" s="6" t="n">
        <v>0.9166666666666666</v>
      </c>
      <c r="K16" s="7">
        <f>(J16-I16)*24</f>
        <v/>
      </c>
      <c r="L16" s="5" t="inlineStr">
        <is>
          <t>On site</t>
        </is>
      </c>
      <c r="M16" s="5" t="inlineStr"/>
    </row>
    <row r="17">
      <c r="A17" s="4" t="n">
        <v>46330</v>
      </c>
      <c r="B17" s="5" t="inlineStr">
        <is>
          <t>S031</t>
        </is>
      </c>
      <c r="C17" s="5" t="inlineStr">
        <is>
          <t>Taipei Neihu</t>
        </is>
      </c>
      <c r="D17" s="5" t="inlineStr">
        <is>
          <t>Sales Floor</t>
        </is>
      </c>
      <c r="E17" s="5" t="inlineStr">
        <is>
          <t>Z10243</t>
        </is>
      </c>
      <c r="F17" s="5" t="inlineStr"/>
      <c r="G17" s="5" t="inlineStr">
        <is>
          <t>Shih-Han Tseng</t>
        </is>
      </c>
      <c r="H17" s="5" t="inlineStr">
        <is>
          <t>P1</t>
        </is>
      </c>
      <c r="I17" s="6" t="n">
        <v>0.4583333333333333</v>
      </c>
      <c r="J17" s="6" t="n">
        <v>0.75</v>
      </c>
      <c r="K17" s="7">
        <f>(J17-I17)*24</f>
        <v/>
      </c>
      <c r="L17" s="5" t="inlineStr">
        <is>
          <t>On site</t>
        </is>
      </c>
      <c r="M17" s="5" t="inlineStr"/>
    </row>
    <row r="18">
      <c r="A18" s="4" t="n">
        <v>46331</v>
      </c>
      <c r="B18" s="5" t="inlineStr">
        <is>
          <t>S031</t>
        </is>
      </c>
      <c r="C18" s="5" t="inlineStr">
        <is>
          <t>Taipei Neihu</t>
        </is>
      </c>
      <c r="D18" s="5" t="inlineStr">
        <is>
          <t>Pickup Desk</t>
        </is>
      </c>
      <c r="E18" s="5" t="inlineStr">
        <is>
          <t>Z10231</t>
        </is>
      </c>
      <c r="F18" s="5" t="inlineStr">
        <is>
          <t>A</t>
        </is>
      </c>
      <c r="G18" s="5" t="inlineStr">
        <is>
          <t>Mei-Ling Lee</t>
        </is>
      </c>
      <c r="H18" s="5" t="inlineStr">
        <is>
          <t>E2</t>
        </is>
      </c>
      <c r="I18" s="6" t="n">
        <v>0.375</v>
      </c>
      <c r="J18" s="6" t="n">
        <v>0.75</v>
      </c>
      <c r="K18" s="7">
        <f>(J18-I18)*24</f>
        <v/>
      </c>
      <c r="L18" s="5" t="inlineStr">
        <is>
          <t>On site</t>
        </is>
      </c>
      <c r="M18" s="5" t="inlineStr"/>
    </row>
    <row r="19">
      <c r="A19" s="4" t="n">
        <v>46331</v>
      </c>
      <c r="B19" s="5" t="inlineStr">
        <is>
          <t>S031</t>
        </is>
      </c>
      <c r="C19" s="5" t="inlineStr">
        <is>
          <t>Taipei Neihu</t>
        </is>
      </c>
      <c r="D19" s="5" t="inlineStr">
        <is>
          <t>Pickup Desk</t>
        </is>
      </c>
      <c r="E19" s="5" t="inlineStr">
        <is>
          <t>Z10232</t>
        </is>
      </c>
      <c r="F19" s="5" t="inlineStr">
        <is>
          <t>B</t>
        </is>
      </c>
      <c r="G19" s="5" t="inlineStr">
        <is>
          <t>Chien-Hung Wang</t>
        </is>
      </c>
      <c r="H19" s="5" t="inlineStr">
        <is>
          <t>M1</t>
        </is>
      </c>
      <c r="I19" s="6" t="n">
        <v>0.4166666666666667</v>
      </c>
      <c r="J19" s="6" t="n">
        <v>0.75</v>
      </c>
      <c r="K19" s="7">
        <f>(J19-I19)*24</f>
        <v/>
      </c>
      <c r="L19" s="5" t="inlineStr">
        <is>
          <t>On site</t>
        </is>
      </c>
      <c r="M19" s="5" t="inlineStr"/>
    </row>
    <row r="20">
      <c r="A20" s="4" t="n">
        <v>46331</v>
      </c>
      <c r="B20" s="5" t="inlineStr">
        <is>
          <t>S031</t>
        </is>
      </c>
      <c r="C20" s="5" t="inlineStr">
        <is>
          <t>Taipei Neihu</t>
        </is>
      </c>
      <c r="D20" s="5" t="inlineStr">
        <is>
          <t>Pickup Desk</t>
        </is>
      </c>
      <c r="E20" s="5" t="inlineStr">
        <is>
          <t>Z10233</t>
        </is>
      </c>
      <c r="F20" s="5" t="inlineStr">
        <is>
          <t>C</t>
        </is>
      </c>
      <c r="G20" s="5" t="inlineStr">
        <is>
          <t>Chia-Ying Wu</t>
        </is>
      </c>
      <c r="H20" s="5" t="inlineStr">
        <is>
          <t>E1</t>
        </is>
      </c>
      <c r="I20" s="6" t="n">
        <v>0.375</v>
      </c>
      <c r="J20" s="6" t="n">
        <v>0.7083333333333334</v>
      </c>
      <c r="K20" s="7">
        <f>(J20-I20)*24</f>
        <v/>
      </c>
      <c r="L20" s="5" t="inlineStr">
        <is>
          <t>On site</t>
        </is>
      </c>
      <c r="M20" s="5" t="inlineStr"/>
    </row>
    <row r="21">
      <c r="A21" s="4" t="n">
        <v>46331</v>
      </c>
      <c r="B21" s="5" t="inlineStr">
        <is>
          <t>S031</t>
        </is>
      </c>
      <c r="C21" s="5" t="inlineStr">
        <is>
          <t>Taipei Neihu</t>
        </is>
      </c>
      <c r="D21" s="5" t="inlineStr">
        <is>
          <t>Pickup Desk</t>
        </is>
      </c>
      <c r="E21" s="5" t="inlineStr">
        <is>
          <t>Z10234</t>
        </is>
      </c>
      <c r="F21" s="5" t="inlineStr">
        <is>
          <t>D</t>
        </is>
      </c>
      <c r="G21" s="5" t="inlineStr">
        <is>
          <t>Chih-Wei Hsu</t>
        </is>
      </c>
      <c r="H21" s="5" t="inlineStr">
        <is>
          <t>E1</t>
        </is>
      </c>
      <c r="I21" s="6" t="n">
        <v>0.375</v>
      </c>
      <c r="J21" s="6" t="n">
        <v>0.7083333333333334</v>
      </c>
      <c r="K21" s="7">
        <f>(J21-I21)*24</f>
        <v/>
      </c>
      <c r="L21" s="5" t="inlineStr">
        <is>
          <t>On site</t>
        </is>
      </c>
      <c r="M21" s="5" t="inlineStr"/>
    </row>
    <row r="22">
      <c r="A22" s="4" t="n">
        <v>46331</v>
      </c>
      <c r="B22" s="5" t="inlineStr">
        <is>
          <t>S031</t>
        </is>
      </c>
      <c r="C22" s="5" t="inlineStr">
        <is>
          <t>Taipei Neihu</t>
        </is>
      </c>
      <c r="D22" s="5" t="inlineStr">
        <is>
          <t>Pickup Desk</t>
        </is>
      </c>
      <c r="E22" s="5" t="inlineStr">
        <is>
          <t>Z10235</t>
        </is>
      </c>
      <c r="F22" s="5" t="inlineStr">
        <is>
          <t>E</t>
        </is>
      </c>
      <c r="G22" s="5" t="inlineStr">
        <is>
          <t>Ya-Wen Cheng</t>
        </is>
      </c>
      <c r="H22" s="5" t="inlineStr">
        <is>
          <t>M3</t>
        </is>
      </c>
      <c r="I22" s="6" t="n">
        <v>0.4166666666666667</v>
      </c>
      <c r="J22" s="6" t="n">
        <v>0.7916666666666666</v>
      </c>
      <c r="K22" s="7">
        <f>(J22-I22)*24</f>
        <v/>
      </c>
      <c r="L22" s="5" t="inlineStr">
        <is>
          <t>On site</t>
        </is>
      </c>
      <c r="M22" s="5" t="inlineStr"/>
    </row>
    <row r="23">
      <c r="A23" s="4" t="n">
        <v>46331</v>
      </c>
      <c r="B23" s="5" t="inlineStr">
        <is>
          <t>S031</t>
        </is>
      </c>
      <c r="C23" s="5" t="inlineStr">
        <is>
          <t>Taipei Neihu</t>
        </is>
      </c>
      <c r="D23" s="5" t="inlineStr">
        <is>
          <t>Pickup Desk</t>
        </is>
      </c>
      <c r="E23" s="5" t="inlineStr">
        <is>
          <t>Z10236</t>
        </is>
      </c>
      <c r="F23" s="5" t="inlineStr">
        <is>
          <t>F</t>
        </is>
      </c>
      <c r="G23" s="5" t="inlineStr">
        <is>
          <t>Tsung-Han Tsai</t>
        </is>
      </c>
      <c r="H23" s="5" t="inlineStr">
        <is>
          <t>L2</t>
        </is>
      </c>
      <c r="I23" s="6" t="n">
        <v>0.5833333333333334</v>
      </c>
      <c r="J23" s="6" t="n">
        <v>0.9166666666666666</v>
      </c>
      <c r="K23" s="7">
        <f>(J23-I23)*24</f>
        <v/>
      </c>
      <c r="L23" s="5" t="inlineStr">
        <is>
          <t>On site</t>
        </is>
      </c>
      <c r="M23" s="5" t="inlineStr"/>
    </row>
    <row r="24">
      <c r="A24" s="4" t="n">
        <v>46331</v>
      </c>
      <c r="B24" s="5" t="inlineStr">
        <is>
          <t>S031</t>
        </is>
      </c>
      <c r="C24" s="5" t="inlineStr">
        <is>
          <t>Taipei Neihu</t>
        </is>
      </c>
      <c r="D24" s="5" t="inlineStr">
        <is>
          <t>Sales Floor</t>
        </is>
      </c>
      <c r="E24" s="5" t="inlineStr">
        <is>
          <t>Z10237</t>
        </is>
      </c>
      <c r="F24" s="5" t="inlineStr"/>
      <c r="G24" s="5" t="inlineStr">
        <is>
          <t>Yi-An Lin</t>
        </is>
      </c>
      <c r="H24" s="5" t="inlineStr">
        <is>
          <t>E1</t>
        </is>
      </c>
      <c r="I24" s="6" t="n">
        <v>0.375</v>
      </c>
      <c r="J24" s="6" t="n">
        <v>0.7083333333333334</v>
      </c>
      <c r="K24" s="7">
        <f>(J24-I24)*24</f>
        <v/>
      </c>
      <c r="L24" s="5" t="inlineStr">
        <is>
          <t>On site</t>
        </is>
      </c>
      <c r="M24" s="5" t="inlineStr"/>
    </row>
    <row r="25">
      <c r="A25" s="4" t="n">
        <v>46331</v>
      </c>
      <c r="B25" s="5" t="inlineStr">
        <is>
          <t>S031</t>
        </is>
      </c>
      <c r="C25" s="5" t="inlineStr">
        <is>
          <t>Taipei Neihu</t>
        </is>
      </c>
      <c r="D25" s="5" t="inlineStr">
        <is>
          <t>Sales Floor</t>
        </is>
      </c>
      <c r="E25" s="5" t="inlineStr">
        <is>
          <t>Z10238</t>
        </is>
      </c>
      <c r="F25" s="5" t="inlineStr"/>
      <c r="G25" s="5" t="inlineStr">
        <is>
          <t>Chun-Chieh Chang</t>
        </is>
      </c>
      <c r="H25" s="5" t="inlineStr">
        <is>
          <t>M1</t>
        </is>
      </c>
      <c r="I25" s="6" t="n">
        <v>0.4166666666666667</v>
      </c>
      <c r="J25" s="6" t="n">
        <v>0.75</v>
      </c>
      <c r="K25" s="7">
        <f>(J25-I25)*24</f>
        <v/>
      </c>
      <c r="L25" s="5" t="inlineStr">
        <is>
          <t>On site</t>
        </is>
      </c>
      <c r="M25" s="5" t="inlineStr"/>
    </row>
    <row r="26">
      <c r="A26" s="4" t="n">
        <v>46331</v>
      </c>
      <c r="B26" s="5" t="inlineStr">
        <is>
          <t>S031</t>
        </is>
      </c>
      <c r="C26" s="5" t="inlineStr">
        <is>
          <t>Taipei Neihu</t>
        </is>
      </c>
      <c r="D26" s="5" t="inlineStr">
        <is>
          <t>Sales Floor</t>
        </is>
      </c>
      <c r="E26" s="5" t="inlineStr">
        <is>
          <t>Z10239</t>
        </is>
      </c>
      <c r="F26" s="5" t="inlineStr"/>
      <c r="G26" s="5" t="inlineStr">
        <is>
          <t>Kuan-Ting Liu</t>
        </is>
      </c>
      <c r="H26" s="5" t="inlineStr">
        <is>
          <t>M1</t>
        </is>
      </c>
      <c r="I26" s="6" t="n">
        <v>0.4166666666666667</v>
      </c>
      <c r="J26" s="6" t="n">
        <v>0.75</v>
      </c>
      <c r="K26" s="7">
        <f>(J26-I26)*24</f>
        <v/>
      </c>
      <c r="L26" s="5" t="inlineStr">
        <is>
          <t>On site</t>
        </is>
      </c>
      <c r="M26" s="5" t="inlineStr"/>
    </row>
    <row r="27">
      <c r="A27" s="4" t="n">
        <v>46331</v>
      </c>
      <c r="B27" s="5" t="inlineStr">
        <is>
          <t>S031</t>
        </is>
      </c>
      <c r="C27" s="5" t="inlineStr">
        <is>
          <t>Taipei Neihu</t>
        </is>
      </c>
      <c r="D27" s="5" t="inlineStr">
        <is>
          <t>Checkout</t>
        </is>
      </c>
      <c r="E27" s="5" t="inlineStr">
        <is>
          <t>Z10240</t>
        </is>
      </c>
      <c r="F27" s="5" t="inlineStr"/>
      <c r="G27" s="5" t="inlineStr">
        <is>
          <t>Shu-Hua Yang</t>
        </is>
      </c>
      <c r="H27" s="5" t="inlineStr">
        <is>
          <t>E1</t>
        </is>
      </c>
      <c r="I27" s="6" t="n">
        <v>0.375</v>
      </c>
      <c r="J27" s="6" t="n">
        <v>0.7083333333333334</v>
      </c>
      <c r="K27" s="7">
        <f>(J27-I27)*24</f>
        <v/>
      </c>
      <c r="L27" s="5" t="inlineStr">
        <is>
          <t>On site</t>
        </is>
      </c>
      <c r="M27" s="5" t="inlineStr"/>
    </row>
    <row r="28">
      <c r="A28" s="4" t="n">
        <v>46331</v>
      </c>
      <c r="B28" s="5" t="inlineStr">
        <is>
          <t>S031</t>
        </is>
      </c>
      <c r="C28" s="5" t="inlineStr">
        <is>
          <t>Taipei Neihu</t>
        </is>
      </c>
      <c r="D28" s="5" t="inlineStr">
        <is>
          <t>Checkout</t>
        </is>
      </c>
      <c r="E28" s="5" t="inlineStr">
        <is>
          <t>Z10241</t>
        </is>
      </c>
      <c r="F28" s="5" t="inlineStr"/>
      <c r="G28" s="5" t="inlineStr">
        <is>
          <t>Po-Han Huang</t>
        </is>
      </c>
      <c r="H28" s="5" t="inlineStr">
        <is>
          <t>L2</t>
        </is>
      </c>
      <c r="I28" s="6" t="n">
        <v>0.5833333333333334</v>
      </c>
      <c r="J28" s="6" t="n">
        <v>0.9166666666666666</v>
      </c>
      <c r="K28" s="7">
        <f>(J28-I28)*24</f>
        <v/>
      </c>
      <c r="L28" s="5" t="inlineStr">
        <is>
          <t>On site</t>
        </is>
      </c>
      <c r="M28" s="5" t="inlineStr"/>
    </row>
    <row r="29">
      <c r="A29" s="4" t="n">
        <v>46331</v>
      </c>
      <c r="B29" s="5" t="inlineStr">
        <is>
          <t>S031</t>
        </is>
      </c>
      <c r="C29" s="5" t="inlineStr">
        <is>
          <t>Taipei Neihu</t>
        </is>
      </c>
      <c r="D29" s="5" t="inlineStr">
        <is>
          <t>Back Office</t>
        </is>
      </c>
      <c r="E29" s="5" t="inlineStr">
        <is>
          <t>Z10242</t>
        </is>
      </c>
      <c r="F29" s="5" t="inlineStr"/>
      <c r="G29" s="5" t="inlineStr">
        <is>
          <t>Hsin-Yi Chou</t>
        </is>
      </c>
      <c r="H29" s="5" t="inlineStr">
        <is>
          <t>L2</t>
        </is>
      </c>
      <c r="I29" s="6" t="n">
        <v>0.5833333333333334</v>
      </c>
      <c r="J29" s="6" t="n">
        <v>0.9166666666666666</v>
      </c>
      <c r="K29" s="7">
        <f>(J29-I29)*24</f>
        <v/>
      </c>
      <c r="L29" s="5" t="inlineStr">
        <is>
          <t>On site</t>
        </is>
      </c>
      <c r="M29" s="5" t="inlineStr"/>
    </row>
    <row r="30">
      <c r="A30" s="4" t="n">
        <v>46331</v>
      </c>
      <c r="B30" s="5" t="inlineStr">
        <is>
          <t>S031</t>
        </is>
      </c>
      <c r="C30" s="5" t="inlineStr">
        <is>
          <t>Taipei Neihu</t>
        </is>
      </c>
      <c r="D30" s="5" t="inlineStr">
        <is>
          <t>Sales Floor</t>
        </is>
      </c>
      <c r="E30" s="5" t="inlineStr">
        <is>
          <t>Z10243</t>
        </is>
      </c>
      <c r="F30" s="5" t="inlineStr"/>
      <c r="G30" s="5" t="inlineStr">
        <is>
          <t>Shih-Han Tseng</t>
        </is>
      </c>
      <c r="H30" s="5" t="inlineStr">
        <is>
          <t>P1</t>
        </is>
      </c>
      <c r="I30" s="6" t="n">
        <v>0.4583333333333333</v>
      </c>
      <c r="J30" s="6" t="n">
        <v>0.75</v>
      </c>
      <c r="K30" s="7">
        <f>(J30-I30)*24</f>
        <v/>
      </c>
      <c r="L30" s="5" t="inlineStr">
        <is>
          <t>On site</t>
        </is>
      </c>
      <c r="M30" s="5" t="inlineStr"/>
    </row>
    <row r="31">
      <c r="A31" s="4" t="n">
        <v>46332</v>
      </c>
      <c r="B31" s="5" t="inlineStr">
        <is>
          <t>S031</t>
        </is>
      </c>
      <c r="C31" s="5" t="inlineStr">
        <is>
          <t>Taipei Neihu</t>
        </is>
      </c>
      <c r="D31" s="5" t="inlineStr">
        <is>
          <t>Pickup Desk</t>
        </is>
      </c>
      <c r="E31" s="5" t="inlineStr">
        <is>
          <t>Z10231</t>
        </is>
      </c>
      <c r="F31" s="5" t="inlineStr">
        <is>
          <t>A</t>
        </is>
      </c>
      <c r="G31" s="5" t="inlineStr">
        <is>
          <t>Mei-Ling Lee</t>
        </is>
      </c>
      <c r="H31" s="5" t="inlineStr">
        <is>
          <t>OFF</t>
        </is>
      </c>
      <c r="I31" s="6" t="n"/>
      <c r="J31" s="6" t="n"/>
      <c r="K31" s="7" t="n">
        <v>0</v>
      </c>
      <c r="L31" s="5" t="inlineStr">
        <is>
          <t>On leave (approved)</t>
        </is>
      </c>
      <c r="M31" s="5" t="inlineStr">
        <is>
          <t>Annual leave (HR ref. LV-26-1187)</t>
        </is>
      </c>
    </row>
    <row r="32">
      <c r="A32" s="4" t="n">
        <v>46332</v>
      </c>
      <c r="B32" s="5" t="inlineStr">
        <is>
          <t>S031</t>
        </is>
      </c>
      <c r="C32" s="5" t="inlineStr">
        <is>
          <t>Taipei Neihu</t>
        </is>
      </c>
      <c r="D32" s="5" t="inlineStr">
        <is>
          <t>Pickup Desk</t>
        </is>
      </c>
      <c r="E32" s="5" t="inlineStr">
        <is>
          <t>Z10232</t>
        </is>
      </c>
      <c r="F32" s="5" t="inlineStr">
        <is>
          <t>B</t>
        </is>
      </c>
      <c r="G32" s="5" t="inlineStr">
        <is>
          <t>Chien-Hung Wang</t>
        </is>
      </c>
      <c r="H32" s="5" t="inlineStr">
        <is>
          <t>M2</t>
        </is>
      </c>
      <c r="I32" s="6" t="n">
        <v>0.4583333333333333</v>
      </c>
      <c r="J32" s="6" t="n">
        <v>0.7083333333333334</v>
      </c>
      <c r="K32" s="7">
        <f>(J32-I32)*24</f>
        <v/>
      </c>
      <c r="L32" s="5" t="inlineStr">
        <is>
          <t>On site</t>
        </is>
      </c>
      <c r="M32" s="5" t="inlineStr"/>
    </row>
    <row r="33">
      <c r="A33" s="4" t="n">
        <v>46332</v>
      </c>
      <c r="B33" s="5" t="inlineStr">
        <is>
          <t>S031</t>
        </is>
      </c>
      <c r="C33" s="5" t="inlineStr">
        <is>
          <t>Taipei Neihu</t>
        </is>
      </c>
      <c r="D33" s="5" t="inlineStr">
        <is>
          <t>Pickup Desk</t>
        </is>
      </c>
      <c r="E33" s="5" t="inlineStr">
        <is>
          <t>Z10233</t>
        </is>
      </c>
      <c r="F33" s="5" t="inlineStr">
        <is>
          <t>C</t>
        </is>
      </c>
      <c r="G33" s="5" t="inlineStr">
        <is>
          <t>Chia-Ying Wu</t>
        </is>
      </c>
      <c r="H33" s="5" t="inlineStr">
        <is>
          <t>E2</t>
        </is>
      </c>
      <c r="I33" s="6" t="n">
        <v>0.375</v>
      </c>
      <c r="J33" s="6" t="n">
        <v>0.75</v>
      </c>
      <c r="K33" s="7">
        <f>(J33-I33)*24</f>
        <v/>
      </c>
      <c r="L33" s="5" t="inlineStr">
        <is>
          <t>Loaned to other store</t>
        </is>
      </c>
      <c r="M33" s="5" t="inlineStr">
        <is>
          <t>Loaned to Xinzhuang for campaign prep (cross-store ref. XS-2611-014)</t>
        </is>
      </c>
    </row>
    <row r="34">
      <c r="A34" s="4" t="n">
        <v>46332</v>
      </c>
      <c r="B34" s="5" t="inlineStr">
        <is>
          <t>S031</t>
        </is>
      </c>
      <c r="C34" s="5" t="inlineStr">
        <is>
          <t>Taipei Neihu</t>
        </is>
      </c>
      <c r="D34" s="5" t="inlineStr">
        <is>
          <t>Pickup Desk</t>
        </is>
      </c>
      <c r="E34" s="5" t="inlineStr">
        <is>
          <t>Z10234</t>
        </is>
      </c>
      <c r="F34" s="5" t="inlineStr">
        <is>
          <t>D</t>
        </is>
      </c>
      <c r="G34" s="5" t="inlineStr">
        <is>
          <t>Chih-Wei Hsu</t>
        </is>
      </c>
      <c r="H34" s="5" t="inlineStr">
        <is>
          <t>E1</t>
        </is>
      </c>
      <c r="I34" s="6" t="n">
        <v>0.375</v>
      </c>
      <c r="J34" s="6" t="n">
        <v>0.7083333333333334</v>
      </c>
      <c r="K34" s="7">
        <f>(J34-I34)*24</f>
        <v/>
      </c>
      <c r="L34" s="5" t="inlineStr">
        <is>
          <t>On site</t>
        </is>
      </c>
      <c r="M34" s="5" t="inlineStr"/>
    </row>
    <row r="35">
      <c r="A35" s="4" t="n">
        <v>46332</v>
      </c>
      <c r="B35" s="5" t="inlineStr">
        <is>
          <t>S031</t>
        </is>
      </c>
      <c r="C35" s="5" t="inlineStr">
        <is>
          <t>Taipei Neihu</t>
        </is>
      </c>
      <c r="D35" s="5" t="inlineStr">
        <is>
          <t>Pickup Desk</t>
        </is>
      </c>
      <c r="E35" s="5" t="inlineStr">
        <is>
          <t>Z10235</t>
        </is>
      </c>
      <c r="F35" s="5" t="inlineStr">
        <is>
          <t>E</t>
        </is>
      </c>
      <c r="G35" s="5" t="inlineStr">
        <is>
          <t>Ya-Wen Cheng</t>
        </is>
      </c>
      <c r="H35" s="5" t="inlineStr">
        <is>
          <t>M3</t>
        </is>
      </c>
      <c r="I35" s="6" t="n">
        <v>0.4166666666666667</v>
      </c>
      <c r="J35" s="6" t="n">
        <v>0.7916666666666666</v>
      </c>
      <c r="K35" s="7">
        <f>(J35-I35)*24</f>
        <v/>
      </c>
      <c r="L35" s="5" t="inlineStr">
        <is>
          <t>On site</t>
        </is>
      </c>
      <c r="M35" s="5" t="inlineStr"/>
    </row>
    <row r="36">
      <c r="A36" s="4" t="n">
        <v>46332</v>
      </c>
      <c r="B36" s="5" t="inlineStr">
        <is>
          <t>S031</t>
        </is>
      </c>
      <c r="C36" s="5" t="inlineStr">
        <is>
          <t>Taipei Neihu</t>
        </is>
      </c>
      <c r="D36" s="5" t="inlineStr">
        <is>
          <t>Pickup Desk</t>
        </is>
      </c>
      <c r="E36" s="5" t="inlineStr">
        <is>
          <t>Z10236</t>
        </is>
      </c>
      <c r="F36" s="5" t="inlineStr">
        <is>
          <t>F</t>
        </is>
      </c>
      <c r="G36" s="5" t="inlineStr">
        <is>
          <t>Tsung-Han Tsai</t>
        </is>
      </c>
      <c r="H36" s="5" t="inlineStr">
        <is>
          <t>L1</t>
        </is>
      </c>
      <c r="I36" s="6" t="n">
        <v>0.5416666666666666</v>
      </c>
      <c r="J36" s="6" t="n">
        <v>0.9166666666666666</v>
      </c>
      <c r="K36" s="7">
        <f>(J36-I36)*24</f>
        <v/>
      </c>
      <c r="L36" s="5" t="inlineStr">
        <is>
          <t>On site</t>
        </is>
      </c>
      <c r="M36" s="5" t="inlineStr"/>
    </row>
    <row r="37">
      <c r="A37" s="4" t="n">
        <v>46332</v>
      </c>
      <c r="B37" s="5" t="inlineStr">
        <is>
          <t>S031</t>
        </is>
      </c>
      <c r="C37" s="5" t="inlineStr">
        <is>
          <t>Taipei Neihu</t>
        </is>
      </c>
      <c r="D37" s="5" t="inlineStr">
        <is>
          <t>Sales Floor</t>
        </is>
      </c>
      <c r="E37" s="5" t="inlineStr">
        <is>
          <t>Z10237</t>
        </is>
      </c>
      <c r="F37" s="5" t="inlineStr"/>
      <c r="G37" s="5" t="inlineStr">
        <is>
          <t>Yi-An Lin</t>
        </is>
      </c>
      <c r="H37" s="5" t="inlineStr">
        <is>
          <t>E1</t>
        </is>
      </c>
      <c r="I37" s="6" t="n">
        <v>0.375</v>
      </c>
      <c r="J37" s="6" t="n">
        <v>0.7083333333333334</v>
      </c>
      <c r="K37" s="7">
        <f>(J37-I37)*24</f>
        <v/>
      </c>
      <c r="L37" s="5" t="inlineStr">
        <is>
          <t>On site</t>
        </is>
      </c>
      <c r="M37" s="5" t="inlineStr"/>
    </row>
    <row r="38">
      <c r="A38" s="4" t="n">
        <v>46332</v>
      </c>
      <c r="B38" s="5" t="inlineStr">
        <is>
          <t>S031</t>
        </is>
      </c>
      <c r="C38" s="5" t="inlineStr">
        <is>
          <t>Taipei Neihu</t>
        </is>
      </c>
      <c r="D38" s="5" t="inlineStr">
        <is>
          <t>Sales Floor</t>
        </is>
      </c>
      <c r="E38" s="5" t="inlineStr">
        <is>
          <t>Z10238</t>
        </is>
      </c>
      <c r="F38" s="5" t="inlineStr"/>
      <c r="G38" s="5" t="inlineStr">
        <is>
          <t>Chun-Chieh Chang</t>
        </is>
      </c>
      <c r="H38" s="5" t="inlineStr">
        <is>
          <t>E1</t>
        </is>
      </c>
      <c r="I38" s="6" t="n">
        <v>0.375</v>
      </c>
      <c r="J38" s="6" t="n">
        <v>0.7083333333333334</v>
      </c>
      <c r="K38" s="7">
        <f>(J38-I38)*24</f>
        <v/>
      </c>
      <c r="L38" s="5" t="inlineStr">
        <is>
          <t>On site</t>
        </is>
      </c>
      <c r="M38" s="5" t="inlineStr"/>
    </row>
    <row r="39">
      <c r="A39" s="4" t="n">
        <v>46332</v>
      </c>
      <c r="B39" s="5" t="inlineStr">
        <is>
          <t>S031</t>
        </is>
      </c>
      <c r="C39" s="5" t="inlineStr">
        <is>
          <t>Taipei Neihu</t>
        </is>
      </c>
      <c r="D39" s="5" t="inlineStr">
        <is>
          <t>Sales Floor</t>
        </is>
      </c>
      <c r="E39" s="5" t="inlineStr">
        <is>
          <t>Z10239</t>
        </is>
      </c>
      <c r="F39" s="5" t="inlineStr"/>
      <c r="G39" s="5" t="inlineStr">
        <is>
          <t>Kuan-Ting Liu</t>
        </is>
      </c>
      <c r="H39" s="5" t="inlineStr">
        <is>
          <t>M1</t>
        </is>
      </c>
      <c r="I39" s="6" t="n">
        <v>0.4166666666666667</v>
      </c>
      <c r="J39" s="6" t="n">
        <v>0.75</v>
      </c>
      <c r="K39" s="7">
        <f>(J39-I39)*24</f>
        <v/>
      </c>
      <c r="L39" s="5" t="inlineStr">
        <is>
          <t>On site</t>
        </is>
      </c>
      <c r="M39" s="5" t="inlineStr"/>
    </row>
    <row r="40">
      <c r="A40" s="4" t="n">
        <v>46332</v>
      </c>
      <c r="B40" s="5" t="inlineStr">
        <is>
          <t>S031</t>
        </is>
      </c>
      <c r="C40" s="5" t="inlineStr">
        <is>
          <t>Taipei Neihu</t>
        </is>
      </c>
      <c r="D40" s="5" t="inlineStr">
        <is>
          <t>Checkout</t>
        </is>
      </c>
      <c r="E40" s="5" t="inlineStr">
        <is>
          <t>Z10240</t>
        </is>
      </c>
      <c r="F40" s="5" t="inlineStr"/>
      <c r="G40" s="5" t="inlineStr">
        <is>
          <t>Shu-Hua Yang</t>
        </is>
      </c>
      <c r="H40" s="5" t="inlineStr">
        <is>
          <t>M1</t>
        </is>
      </c>
      <c r="I40" s="6" t="n">
        <v>0.4166666666666667</v>
      </c>
      <c r="J40" s="6" t="n">
        <v>0.75</v>
      </c>
      <c r="K40" s="7">
        <f>(J40-I40)*24</f>
        <v/>
      </c>
      <c r="L40" s="5" t="inlineStr">
        <is>
          <t>On site</t>
        </is>
      </c>
      <c r="M40" s="5" t="inlineStr"/>
    </row>
    <row r="41">
      <c r="A41" s="4" t="n">
        <v>46332</v>
      </c>
      <c r="B41" s="5" t="inlineStr">
        <is>
          <t>S031</t>
        </is>
      </c>
      <c r="C41" s="5" t="inlineStr">
        <is>
          <t>Taipei Neihu</t>
        </is>
      </c>
      <c r="D41" s="5" t="inlineStr">
        <is>
          <t>Checkout</t>
        </is>
      </c>
      <c r="E41" s="5" t="inlineStr">
        <is>
          <t>Z10241</t>
        </is>
      </c>
      <c r="F41" s="5" t="inlineStr"/>
      <c r="G41" s="5" t="inlineStr">
        <is>
          <t>Po-Han Huang</t>
        </is>
      </c>
      <c r="H41" s="5" t="inlineStr">
        <is>
          <t>L2</t>
        </is>
      </c>
      <c r="I41" s="6" t="n">
        <v>0.5833333333333334</v>
      </c>
      <c r="J41" s="6" t="n">
        <v>0.9166666666666666</v>
      </c>
      <c r="K41" s="7">
        <f>(J41-I41)*24</f>
        <v/>
      </c>
      <c r="L41" s="5" t="inlineStr">
        <is>
          <t>On site</t>
        </is>
      </c>
      <c r="M41" s="5" t="inlineStr"/>
    </row>
    <row r="42">
      <c r="A42" s="4" t="n">
        <v>46332</v>
      </c>
      <c r="B42" s="5" t="inlineStr">
        <is>
          <t>S031</t>
        </is>
      </c>
      <c r="C42" s="5" t="inlineStr">
        <is>
          <t>Taipei Neihu</t>
        </is>
      </c>
      <c r="D42" s="5" t="inlineStr">
        <is>
          <t>Back Office</t>
        </is>
      </c>
      <c r="E42" s="5" t="inlineStr">
        <is>
          <t>Z10242</t>
        </is>
      </c>
      <c r="F42" s="5" t="inlineStr"/>
      <c r="G42" s="5" t="inlineStr">
        <is>
          <t>Hsin-Yi Chou</t>
        </is>
      </c>
      <c r="H42" s="5" t="inlineStr">
        <is>
          <t>L2</t>
        </is>
      </c>
      <c r="I42" s="6" t="n">
        <v>0.5833333333333334</v>
      </c>
      <c r="J42" s="6" t="n">
        <v>0.9166666666666666</v>
      </c>
      <c r="K42" s="7">
        <f>(J42-I42)*24</f>
        <v/>
      </c>
      <c r="L42" s="5" t="inlineStr">
        <is>
          <t>On site</t>
        </is>
      </c>
      <c r="M42" s="5" t="inlineStr"/>
    </row>
    <row r="43">
      <c r="A43" s="4" t="n">
        <v>46332</v>
      </c>
      <c r="B43" s="5" t="inlineStr">
        <is>
          <t>S031</t>
        </is>
      </c>
      <c r="C43" s="5" t="inlineStr">
        <is>
          <t>Taipei Neihu</t>
        </is>
      </c>
      <c r="D43" s="5" t="inlineStr">
        <is>
          <t>Sales Floor</t>
        </is>
      </c>
      <c r="E43" s="5" t="inlineStr">
        <is>
          <t>Z10243</t>
        </is>
      </c>
      <c r="F43" s="5" t="inlineStr"/>
      <c r="G43" s="5" t="inlineStr">
        <is>
          <t>Shih-Han Tseng</t>
        </is>
      </c>
      <c r="H43" s="5" t="inlineStr">
        <is>
          <t>P1</t>
        </is>
      </c>
      <c r="I43" s="6" t="n">
        <v>0.4583333333333333</v>
      </c>
      <c r="J43" s="6" t="n">
        <v>0.75</v>
      </c>
      <c r="K43" s="7">
        <f>(J43-I43)*24</f>
        <v/>
      </c>
      <c r="L43" s="5" t="inlineStr">
        <is>
          <t>On site</t>
        </is>
      </c>
      <c r="M43" s="5" t="inlineStr">
        <is>
          <t>Part-time</t>
        </is>
      </c>
    </row>
    <row r="44">
      <c r="A44" s="4" t="n">
        <v>46333</v>
      </c>
      <c r="B44" s="5" t="inlineStr">
        <is>
          <t>S031</t>
        </is>
      </c>
      <c r="C44" s="5" t="inlineStr">
        <is>
          <t>Taipei Neihu</t>
        </is>
      </c>
      <c r="D44" s="5" t="inlineStr">
        <is>
          <t>Pickup Desk</t>
        </is>
      </c>
      <c r="E44" s="5" t="inlineStr">
        <is>
          <t>Z10231</t>
        </is>
      </c>
      <c r="F44" s="5" t="inlineStr">
        <is>
          <t>A</t>
        </is>
      </c>
      <c r="G44" s="5" t="inlineStr">
        <is>
          <t>Mei-Ling Lee</t>
        </is>
      </c>
      <c r="H44" s="5" t="inlineStr">
        <is>
          <t>M3</t>
        </is>
      </c>
      <c r="I44" s="6" t="n">
        <v>0.4166666666666667</v>
      </c>
      <c r="J44" s="6" t="n">
        <v>0.7916666666666666</v>
      </c>
      <c r="K44" s="7">
        <f>(J44-I44)*24</f>
        <v/>
      </c>
      <c r="L44" s="5" t="inlineStr">
        <is>
          <t>On site</t>
        </is>
      </c>
      <c r="M44" s="5" t="inlineStr"/>
    </row>
    <row r="45">
      <c r="A45" s="4" t="n">
        <v>46333</v>
      </c>
      <c r="B45" s="5" t="inlineStr">
        <is>
          <t>S031</t>
        </is>
      </c>
      <c r="C45" s="5" t="inlineStr">
        <is>
          <t>Taipei Neihu</t>
        </is>
      </c>
      <c r="D45" s="5" t="inlineStr">
        <is>
          <t>Pickup Desk</t>
        </is>
      </c>
      <c r="E45" s="5" t="inlineStr">
        <is>
          <t>Z10232</t>
        </is>
      </c>
      <c r="F45" s="5" t="inlineStr">
        <is>
          <t>B</t>
        </is>
      </c>
      <c r="G45" s="5" t="inlineStr">
        <is>
          <t>Chien-Hung Wang</t>
        </is>
      </c>
      <c r="H45" s="5" t="inlineStr">
        <is>
          <t>E1</t>
        </is>
      </c>
      <c r="I45" s="6" t="n">
        <v>0.375</v>
      </c>
      <c r="J45" s="6" t="n">
        <v>0.7083333333333334</v>
      </c>
      <c r="K45" s="7">
        <f>(J45-I45)*24</f>
        <v/>
      </c>
      <c r="L45" s="5" t="inlineStr">
        <is>
          <t>On site</t>
        </is>
      </c>
      <c r="M45" s="5" t="inlineStr"/>
    </row>
    <row r="46">
      <c r="A46" s="4" t="n">
        <v>46333</v>
      </c>
      <c r="B46" s="5" t="inlineStr">
        <is>
          <t>S031</t>
        </is>
      </c>
      <c r="C46" s="5" t="inlineStr">
        <is>
          <t>Taipei Neihu</t>
        </is>
      </c>
      <c r="D46" s="5" t="inlineStr">
        <is>
          <t>Pickup Desk</t>
        </is>
      </c>
      <c r="E46" s="5" t="inlineStr">
        <is>
          <t>Z10233</t>
        </is>
      </c>
      <c r="F46" s="5" t="inlineStr">
        <is>
          <t>C</t>
        </is>
      </c>
      <c r="G46" s="5" t="inlineStr">
        <is>
          <t>Chia-Ying Wu</t>
        </is>
      </c>
      <c r="H46" s="5" t="inlineStr">
        <is>
          <t>L1</t>
        </is>
      </c>
      <c r="I46" s="6" t="n">
        <v>0.5416666666666666</v>
      </c>
      <c r="J46" s="6" t="n">
        <v>0.9166666666666666</v>
      </c>
      <c r="K46" s="7">
        <f>(J46-I46)*24</f>
        <v/>
      </c>
      <c r="L46" s="5" t="inlineStr">
        <is>
          <t>On site</t>
        </is>
      </c>
      <c r="M46" s="5" t="inlineStr"/>
    </row>
    <row r="47">
      <c r="A47" s="4" t="n">
        <v>46333</v>
      </c>
      <c r="B47" s="5" t="inlineStr">
        <is>
          <t>S031</t>
        </is>
      </c>
      <c r="C47" s="5" t="inlineStr">
        <is>
          <t>Taipei Neihu</t>
        </is>
      </c>
      <c r="D47" s="5" t="inlineStr">
        <is>
          <t>Pickup Desk</t>
        </is>
      </c>
      <c r="E47" s="5" t="inlineStr">
        <is>
          <t>Z10234</t>
        </is>
      </c>
      <c r="F47" s="5" t="inlineStr">
        <is>
          <t>D</t>
        </is>
      </c>
      <c r="G47" s="5" t="inlineStr">
        <is>
          <t>Chih-Wei Hsu</t>
        </is>
      </c>
      <c r="H47" s="5" t="inlineStr">
        <is>
          <t>M1</t>
        </is>
      </c>
      <c r="I47" s="6" t="n">
        <v>0.4166666666666667</v>
      </c>
      <c r="J47" s="6" t="n">
        <v>0.75</v>
      </c>
      <c r="K47" s="7">
        <f>(J47-I47)*24</f>
        <v/>
      </c>
      <c r="L47" s="5" t="inlineStr">
        <is>
          <t>On site</t>
        </is>
      </c>
      <c r="M47" s="5" t="inlineStr"/>
    </row>
    <row r="48">
      <c r="A48" s="4" t="n">
        <v>46333</v>
      </c>
      <c r="B48" s="5" t="inlineStr">
        <is>
          <t>S031</t>
        </is>
      </c>
      <c r="C48" s="5" t="inlineStr">
        <is>
          <t>Taipei Neihu</t>
        </is>
      </c>
      <c r="D48" s="5" t="inlineStr">
        <is>
          <t>Pickup Desk</t>
        </is>
      </c>
      <c r="E48" s="5" t="inlineStr">
        <is>
          <t>Z10235</t>
        </is>
      </c>
      <c r="F48" s="5" t="inlineStr">
        <is>
          <t>E</t>
        </is>
      </c>
      <c r="G48" s="5" t="inlineStr">
        <is>
          <t>Ya-Wen Cheng</t>
        </is>
      </c>
      <c r="H48" s="5" t="inlineStr">
        <is>
          <t>E2</t>
        </is>
      </c>
      <c r="I48" s="6" t="n">
        <v>0.375</v>
      </c>
      <c r="J48" s="6" t="n">
        <v>0.75</v>
      </c>
      <c r="K48" s="7">
        <f>(J48-I48)*24</f>
        <v/>
      </c>
      <c r="L48" s="5" t="inlineStr">
        <is>
          <t>On site</t>
        </is>
      </c>
      <c r="M48" s="5" t="inlineStr"/>
    </row>
    <row r="49">
      <c r="A49" s="4" t="n">
        <v>46333</v>
      </c>
      <c r="B49" s="5" t="inlineStr">
        <is>
          <t>S031</t>
        </is>
      </c>
      <c r="C49" s="5" t="inlineStr">
        <is>
          <t>Taipei Neihu</t>
        </is>
      </c>
      <c r="D49" s="5" t="inlineStr">
        <is>
          <t>Pickup Desk</t>
        </is>
      </c>
      <c r="E49" s="5" t="inlineStr">
        <is>
          <t>Z10236</t>
        </is>
      </c>
      <c r="F49" s="5" t="inlineStr">
        <is>
          <t>F</t>
        </is>
      </c>
      <c r="G49" s="5" t="inlineStr">
        <is>
          <t>Tsung-Han Tsai</t>
        </is>
      </c>
      <c r="H49" s="5" t="inlineStr">
        <is>
          <t>L2</t>
        </is>
      </c>
      <c r="I49" s="6" t="n">
        <v>0.5833333333333334</v>
      </c>
      <c r="J49" s="6" t="n">
        <v>0.9166666666666666</v>
      </c>
      <c r="K49" s="7">
        <f>(J49-I49)*24</f>
        <v/>
      </c>
      <c r="L49" s="5" t="inlineStr">
        <is>
          <t>On site</t>
        </is>
      </c>
      <c r="M49" s="5" t="inlineStr"/>
    </row>
    <row r="50">
      <c r="A50" s="4" t="n">
        <v>46333</v>
      </c>
      <c r="B50" s="5" t="inlineStr">
        <is>
          <t>S031</t>
        </is>
      </c>
      <c r="C50" s="5" t="inlineStr">
        <is>
          <t>Taipei Neihu</t>
        </is>
      </c>
      <c r="D50" s="5" t="inlineStr">
        <is>
          <t>Sales Floor</t>
        </is>
      </c>
      <c r="E50" s="5" t="inlineStr">
        <is>
          <t>Z10237</t>
        </is>
      </c>
      <c r="F50" s="5" t="inlineStr"/>
      <c r="G50" s="5" t="inlineStr">
        <is>
          <t>Yi-An Lin</t>
        </is>
      </c>
      <c r="H50" s="5" t="inlineStr">
        <is>
          <t>E1</t>
        </is>
      </c>
      <c r="I50" s="6" t="n">
        <v>0.375</v>
      </c>
      <c r="J50" s="6" t="n">
        <v>0.7083333333333334</v>
      </c>
      <c r="K50" s="7">
        <f>(J50-I50)*24</f>
        <v/>
      </c>
      <c r="L50" s="5" t="inlineStr">
        <is>
          <t>On site</t>
        </is>
      </c>
      <c r="M50" s="5" t="inlineStr"/>
    </row>
    <row r="51">
      <c r="A51" s="4" t="n">
        <v>46333</v>
      </c>
      <c r="B51" s="5" t="inlineStr">
        <is>
          <t>S031</t>
        </is>
      </c>
      <c r="C51" s="5" t="inlineStr">
        <is>
          <t>Taipei Neihu</t>
        </is>
      </c>
      <c r="D51" s="5" t="inlineStr">
        <is>
          <t>Sales Floor</t>
        </is>
      </c>
      <c r="E51" s="5" t="inlineStr">
        <is>
          <t>Z10238</t>
        </is>
      </c>
      <c r="F51" s="5" t="inlineStr"/>
      <c r="G51" s="5" t="inlineStr">
        <is>
          <t>Chun-Chieh Chang</t>
        </is>
      </c>
      <c r="H51" s="5" t="inlineStr">
        <is>
          <t>E1</t>
        </is>
      </c>
      <c r="I51" s="6" t="n">
        <v>0.375</v>
      </c>
      <c r="J51" s="6" t="n">
        <v>0.7083333333333334</v>
      </c>
      <c r="K51" s="7">
        <f>(J51-I51)*24</f>
        <v/>
      </c>
      <c r="L51" s="5" t="inlineStr">
        <is>
          <t>On site</t>
        </is>
      </c>
      <c r="M51" s="5" t="inlineStr"/>
    </row>
    <row r="52">
      <c r="A52" s="4" t="n">
        <v>46333</v>
      </c>
      <c r="B52" s="5" t="inlineStr">
        <is>
          <t>S031</t>
        </is>
      </c>
      <c r="C52" s="5" t="inlineStr">
        <is>
          <t>Taipei Neihu</t>
        </is>
      </c>
      <c r="D52" s="5" t="inlineStr">
        <is>
          <t>Sales Floor</t>
        </is>
      </c>
      <c r="E52" s="5" t="inlineStr">
        <is>
          <t>Z10239</t>
        </is>
      </c>
      <c r="F52" s="5" t="inlineStr"/>
      <c r="G52" s="5" t="inlineStr">
        <is>
          <t>Kuan-Ting Liu</t>
        </is>
      </c>
      <c r="H52" s="5" t="inlineStr">
        <is>
          <t>M1</t>
        </is>
      </c>
      <c r="I52" s="6" t="n">
        <v>0.4166666666666667</v>
      </c>
      <c r="J52" s="6" t="n">
        <v>0.75</v>
      </c>
      <c r="K52" s="7">
        <f>(J52-I52)*24</f>
        <v/>
      </c>
      <c r="L52" s="5" t="inlineStr">
        <is>
          <t>On site</t>
        </is>
      </c>
      <c r="M52" s="5" t="inlineStr"/>
    </row>
    <row r="53">
      <c r="A53" s="4" t="n">
        <v>46333</v>
      </c>
      <c r="B53" s="5" t="inlineStr">
        <is>
          <t>S031</t>
        </is>
      </c>
      <c r="C53" s="5" t="inlineStr">
        <is>
          <t>Taipei Neihu</t>
        </is>
      </c>
      <c r="D53" s="5" t="inlineStr">
        <is>
          <t>Checkout</t>
        </is>
      </c>
      <c r="E53" s="5" t="inlineStr">
        <is>
          <t>Z10240</t>
        </is>
      </c>
      <c r="F53" s="5" t="inlineStr"/>
      <c r="G53" s="5" t="inlineStr">
        <is>
          <t>Shu-Hua Yang</t>
        </is>
      </c>
      <c r="H53" s="5" t="inlineStr">
        <is>
          <t>M1</t>
        </is>
      </c>
      <c r="I53" s="6" t="n">
        <v>0.4166666666666667</v>
      </c>
      <c r="J53" s="6" t="n">
        <v>0.75</v>
      </c>
      <c r="K53" s="7">
        <f>(J53-I53)*24</f>
        <v/>
      </c>
      <c r="L53" s="5" t="inlineStr">
        <is>
          <t>On site</t>
        </is>
      </c>
      <c r="M53" s="5" t="inlineStr"/>
    </row>
    <row r="54">
      <c r="A54" s="4" t="n">
        <v>46333</v>
      </c>
      <c r="B54" s="5" t="inlineStr">
        <is>
          <t>S031</t>
        </is>
      </c>
      <c r="C54" s="5" t="inlineStr">
        <is>
          <t>Taipei Neihu</t>
        </is>
      </c>
      <c r="D54" s="5" t="inlineStr">
        <is>
          <t>Checkout</t>
        </is>
      </c>
      <c r="E54" s="5" t="inlineStr">
        <is>
          <t>Z10241</t>
        </is>
      </c>
      <c r="F54" s="5" t="inlineStr"/>
      <c r="G54" s="5" t="inlineStr">
        <is>
          <t>Po-Han Huang</t>
        </is>
      </c>
      <c r="H54" s="5" t="inlineStr">
        <is>
          <t>L2</t>
        </is>
      </c>
      <c r="I54" s="6" t="n">
        <v>0.5833333333333334</v>
      </c>
      <c r="J54" s="6" t="n">
        <v>0.9166666666666666</v>
      </c>
      <c r="K54" s="7">
        <f>(J54-I54)*24</f>
        <v/>
      </c>
      <c r="L54" s="5" t="inlineStr">
        <is>
          <t>On site</t>
        </is>
      </c>
      <c r="M54" s="5" t="inlineStr"/>
    </row>
    <row r="55">
      <c r="A55" s="4" t="n">
        <v>46333</v>
      </c>
      <c r="B55" s="5" t="inlineStr">
        <is>
          <t>S031</t>
        </is>
      </c>
      <c r="C55" s="5" t="inlineStr">
        <is>
          <t>Taipei Neihu</t>
        </is>
      </c>
      <c r="D55" s="5" t="inlineStr">
        <is>
          <t>Back Office</t>
        </is>
      </c>
      <c r="E55" s="5" t="inlineStr">
        <is>
          <t>Z10242</t>
        </is>
      </c>
      <c r="F55" s="5" t="inlineStr"/>
      <c r="G55" s="5" t="inlineStr">
        <is>
          <t>Hsin-Yi Chou</t>
        </is>
      </c>
      <c r="H55" s="5" t="inlineStr">
        <is>
          <t>L2</t>
        </is>
      </c>
      <c r="I55" s="6" t="n">
        <v>0.5833333333333334</v>
      </c>
      <c r="J55" s="6" t="n">
        <v>0.9166666666666666</v>
      </c>
      <c r="K55" s="7">
        <f>(J55-I55)*24</f>
        <v/>
      </c>
      <c r="L55" s="5" t="inlineStr">
        <is>
          <t>On site</t>
        </is>
      </c>
      <c r="M55" s="5" t="inlineStr"/>
    </row>
    <row r="56">
      <c r="A56" s="4" t="n">
        <v>46333</v>
      </c>
      <c r="B56" s="5" t="inlineStr">
        <is>
          <t>S031</t>
        </is>
      </c>
      <c r="C56" s="5" t="inlineStr">
        <is>
          <t>Taipei Neihu</t>
        </is>
      </c>
      <c r="D56" s="5" t="inlineStr">
        <is>
          <t>Sales Floor</t>
        </is>
      </c>
      <c r="E56" s="5" t="inlineStr">
        <is>
          <t>Z10243</t>
        </is>
      </c>
      <c r="F56" s="5" t="inlineStr"/>
      <c r="G56" s="5" t="inlineStr">
        <is>
          <t>Shih-Han Tseng</t>
        </is>
      </c>
      <c r="H56" s="5" t="inlineStr">
        <is>
          <t>E1</t>
        </is>
      </c>
      <c r="I56" s="6" t="n">
        <v>0.375</v>
      </c>
      <c r="J56" s="6" t="n">
        <v>0.7083333333333334</v>
      </c>
      <c r="K56" s="7">
        <f>(J56-I56)*24</f>
        <v/>
      </c>
      <c r="L56" s="5" t="inlineStr">
        <is>
          <t>On site</t>
        </is>
      </c>
      <c r="M56" s="5" t="inlineStr"/>
    </row>
    <row r="57">
      <c r="A57" s="4" t="n">
        <v>46334</v>
      </c>
      <c r="B57" s="5" t="inlineStr">
        <is>
          <t>S031</t>
        </is>
      </c>
      <c r="C57" s="5" t="inlineStr">
        <is>
          <t>Taipei Neihu</t>
        </is>
      </c>
      <c r="D57" s="5" t="inlineStr">
        <is>
          <t>Pickup Desk</t>
        </is>
      </c>
      <c r="E57" s="5" t="inlineStr">
        <is>
          <t>Z10231</t>
        </is>
      </c>
      <c r="F57" s="5" t="inlineStr">
        <is>
          <t>A</t>
        </is>
      </c>
      <c r="G57" s="5" t="inlineStr">
        <is>
          <t>Mei-Ling Lee</t>
        </is>
      </c>
      <c r="H57" s="5" t="inlineStr">
        <is>
          <t>E1</t>
        </is>
      </c>
      <c r="I57" s="6" t="n">
        <v>0.375</v>
      </c>
      <c r="J57" s="6" t="n">
        <v>0.7083333333333334</v>
      </c>
      <c r="K57" s="7">
        <f>(J57-I57)*24</f>
        <v/>
      </c>
      <c r="L57" s="5" t="inlineStr">
        <is>
          <t>On site</t>
        </is>
      </c>
      <c r="M57" s="5" t="inlineStr"/>
    </row>
    <row r="58">
      <c r="A58" s="4" t="n">
        <v>46334</v>
      </c>
      <c r="B58" s="5" t="inlineStr">
        <is>
          <t>S031</t>
        </is>
      </c>
      <c r="C58" s="5" t="inlineStr">
        <is>
          <t>Taipei Neihu</t>
        </is>
      </c>
      <c r="D58" s="5" t="inlineStr">
        <is>
          <t>Pickup Desk</t>
        </is>
      </c>
      <c r="E58" s="5" t="inlineStr">
        <is>
          <t>Z10232</t>
        </is>
      </c>
      <c r="F58" s="5" t="inlineStr">
        <is>
          <t>B</t>
        </is>
      </c>
      <c r="G58" s="5" t="inlineStr">
        <is>
          <t>Chien-Hung Wang</t>
        </is>
      </c>
      <c r="H58" s="5" t="inlineStr">
        <is>
          <t>M3</t>
        </is>
      </c>
      <c r="I58" s="6" t="n">
        <v>0.4166666666666667</v>
      </c>
      <c r="J58" s="6" t="n">
        <v>0.7916666666666666</v>
      </c>
      <c r="K58" s="7">
        <f>(J58-I58)*24</f>
        <v/>
      </c>
      <c r="L58" s="5" t="inlineStr">
        <is>
          <t>On site</t>
        </is>
      </c>
      <c r="M58" s="5" t="inlineStr"/>
    </row>
    <row r="59">
      <c r="A59" s="4" t="n">
        <v>46334</v>
      </c>
      <c r="B59" s="5" t="inlineStr">
        <is>
          <t>S031</t>
        </is>
      </c>
      <c r="C59" s="5" t="inlineStr">
        <is>
          <t>Taipei Neihu</t>
        </is>
      </c>
      <c r="D59" s="5" t="inlineStr">
        <is>
          <t>Pickup Desk</t>
        </is>
      </c>
      <c r="E59" s="5" t="inlineStr">
        <is>
          <t>Z10233</t>
        </is>
      </c>
      <c r="F59" s="5" t="inlineStr">
        <is>
          <t>C</t>
        </is>
      </c>
      <c r="G59" s="5" t="inlineStr">
        <is>
          <t>Chia-Ying Wu</t>
        </is>
      </c>
      <c r="H59" s="5" t="inlineStr">
        <is>
          <t>M1</t>
        </is>
      </c>
      <c r="I59" s="6" t="n">
        <v>0.4166666666666667</v>
      </c>
      <c r="J59" s="6" t="n">
        <v>0.75</v>
      </c>
      <c r="K59" s="7">
        <f>(J59-I59)*24</f>
        <v/>
      </c>
      <c r="L59" s="5" t="inlineStr">
        <is>
          <t>On site</t>
        </is>
      </c>
      <c r="M59" s="5" t="inlineStr"/>
    </row>
    <row r="60">
      <c r="A60" s="4" t="n">
        <v>46334</v>
      </c>
      <c r="B60" s="5" t="inlineStr">
        <is>
          <t>S031</t>
        </is>
      </c>
      <c r="C60" s="5" t="inlineStr">
        <is>
          <t>Taipei Neihu</t>
        </is>
      </c>
      <c r="D60" s="5" t="inlineStr">
        <is>
          <t>Pickup Desk</t>
        </is>
      </c>
      <c r="E60" s="5" t="inlineStr">
        <is>
          <t>Z10234</t>
        </is>
      </c>
      <c r="F60" s="5" t="inlineStr">
        <is>
          <t>D</t>
        </is>
      </c>
      <c r="G60" s="5" t="inlineStr">
        <is>
          <t>Chih-Wei Hsu</t>
        </is>
      </c>
      <c r="H60" s="5" t="inlineStr">
        <is>
          <t>E2</t>
        </is>
      </c>
      <c r="I60" s="6" t="n">
        <v>0.375</v>
      </c>
      <c r="J60" s="6" t="n">
        <v>0.75</v>
      </c>
      <c r="K60" s="7">
        <f>(J60-I60)*24</f>
        <v/>
      </c>
      <c r="L60" s="5" t="inlineStr">
        <is>
          <t>On site</t>
        </is>
      </c>
      <c r="M60" s="5" t="inlineStr"/>
    </row>
    <row r="61">
      <c r="A61" s="4" t="n">
        <v>46334</v>
      </c>
      <c r="B61" s="5" t="inlineStr">
        <is>
          <t>S031</t>
        </is>
      </c>
      <c r="C61" s="5" t="inlineStr">
        <is>
          <t>Taipei Neihu</t>
        </is>
      </c>
      <c r="D61" s="5" t="inlineStr">
        <is>
          <t>Pickup Desk</t>
        </is>
      </c>
      <c r="E61" s="5" t="inlineStr">
        <is>
          <t>Z10235</t>
        </is>
      </c>
      <c r="F61" s="5" t="inlineStr">
        <is>
          <t>E</t>
        </is>
      </c>
      <c r="G61" s="5" t="inlineStr">
        <is>
          <t>Ya-Wen Cheng</t>
        </is>
      </c>
      <c r="H61" s="5" t="inlineStr">
        <is>
          <t>L2</t>
        </is>
      </c>
      <c r="I61" s="6" t="n">
        <v>0.5833333333333334</v>
      </c>
      <c r="J61" s="6" t="n">
        <v>0.9166666666666666</v>
      </c>
      <c r="K61" s="7">
        <f>(J61-I61)*24</f>
        <v/>
      </c>
      <c r="L61" s="5" t="inlineStr">
        <is>
          <t>On site</t>
        </is>
      </c>
      <c r="M61" s="5" t="inlineStr"/>
    </row>
    <row r="62">
      <c r="A62" s="4" t="n">
        <v>46334</v>
      </c>
      <c r="B62" s="5" t="inlineStr">
        <is>
          <t>S031</t>
        </is>
      </c>
      <c r="C62" s="5" t="inlineStr">
        <is>
          <t>Taipei Neihu</t>
        </is>
      </c>
      <c r="D62" s="5" t="inlineStr">
        <is>
          <t>Pickup Desk</t>
        </is>
      </c>
      <c r="E62" s="5" t="inlineStr">
        <is>
          <t>Z10236</t>
        </is>
      </c>
      <c r="F62" s="5" t="inlineStr">
        <is>
          <t>F</t>
        </is>
      </c>
      <c r="G62" s="5" t="inlineStr">
        <is>
          <t>Tsung-Han Tsai</t>
        </is>
      </c>
      <c r="H62" s="5" t="inlineStr">
        <is>
          <t>E1</t>
        </is>
      </c>
      <c r="I62" s="6" t="n">
        <v>0.375</v>
      </c>
      <c r="J62" s="6" t="n">
        <v>0.7083333333333334</v>
      </c>
      <c r="K62" s="7">
        <f>(J62-I62)*24</f>
        <v/>
      </c>
      <c r="L62" s="5" t="inlineStr">
        <is>
          <t>On site</t>
        </is>
      </c>
      <c r="M62" s="5" t="inlineStr"/>
    </row>
    <row r="63">
      <c r="A63" s="4" t="n">
        <v>46334</v>
      </c>
      <c r="B63" s="5" t="inlineStr">
        <is>
          <t>S031</t>
        </is>
      </c>
      <c r="C63" s="5" t="inlineStr">
        <is>
          <t>Taipei Neihu</t>
        </is>
      </c>
      <c r="D63" s="5" t="inlineStr">
        <is>
          <t>Sales Floor</t>
        </is>
      </c>
      <c r="E63" s="5" t="inlineStr">
        <is>
          <t>Z10237</t>
        </is>
      </c>
      <c r="F63" s="5" t="inlineStr"/>
      <c r="G63" s="5" t="inlineStr">
        <is>
          <t>Yi-An Lin</t>
        </is>
      </c>
      <c r="H63" s="5" t="inlineStr">
        <is>
          <t>E1</t>
        </is>
      </c>
      <c r="I63" s="6" t="n">
        <v>0.375</v>
      </c>
      <c r="J63" s="6" t="n">
        <v>0.7083333333333334</v>
      </c>
      <c r="K63" s="7">
        <f>(J63-I63)*24</f>
        <v/>
      </c>
      <c r="L63" s="5" t="inlineStr">
        <is>
          <t>On site</t>
        </is>
      </c>
      <c r="M63" s="5" t="inlineStr"/>
    </row>
    <row r="64">
      <c r="A64" s="4" t="n">
        <v>46334</v>
      </c>
      <c r="B64" s="5" t="inlineStr">
        <is>
          <t>S031</t>
        </is>
      </c>
      <c r="C64" s="5" t="inlineStr">
        <is>
          <t>Taipei Neihu</t>
        </is>
      </c>
      <c r="D64" s="5" t="inlineStr">
        <is>
          <t>Sales Floor</t>
        </is>
      </c>
      <c r="E64" s="5" t="inlineStr">
        <is>
          <t>Z10238</t>
        </is>
      </c>
      <c r="F64" s="5" t="inlineStr"/>
      <c r="G64" s="5" t="inlineStr">
        <is>
          <t>Chun-Chieh Chang</t>
        </is>
      </c>
      <c r="H64" s="5" t="inlineStr">
        <is>
          <t>M1</t>
        </is>
      </c>
      <c r="I64" s="6" t="n">
        <v>0.4166666666666667</v>
      </c>
      <c r="J64" s="6" t="n">
        <v>0.75</v>
      </c>
      <c r="K64" s="7">
        <f>(J64-I64)*24</f>
        <v/>
      </c>
      <c r="L64" s="5" t="inlineStr">
        <is>
          <t>On site</t>
        </is>
      </c>
      <c r="M64" s="5" t="inlineStr"/>
    </row>
    <row r="65">
      <c r="A65" s="4" t="n">
        <v>46334</v>
      </c>
      <c r="B65" s="5" t="inlineStr">
        <is>
          <t>S031</t>
        </is>
      </c>
      <c r="C65" s="5" t="inlineStr">
        <is>
          <t>Taipei Neihu</t>
        </is>
      </c>
      <c r="D65" s="5" t="inlineStr">
        <is>
          <t>Sales Floor</t>
        </is>
      </c>
      <c r="E65" s="5" t="inlineStr">
        <is>
          <t>Z10239</t>
        </is>
      </c>
      <c r="F65" s="5" t="inlineStr"/>
      <c r="G65" s="5" t="inlineStr">
        <is>
          <t>Kuan-Ting Liu</t>
        </is>
      </c>
      <c r="H65" s="5" t="inlineStr">
        <is>
          <t>E1</t>
        </is>
      </c>
      <c r="I65" s="6" t="n">
        <v>0.375</v>
      </c>
      <c r="J65" s="6" t="n">
        <v>0.7083333333333334</v>
      </c>
      <c r="K65" s="7">
        <f>(J65-I65)*24</f>
        <v/>
      </c>
      <c r="L65" s="5" t="inlineStr">
        <is>
          <t>On site</t>
        </is>
      </c>
      <c r="M65" s="5" t="inlineStr"/>
    </row>
    <row r="66">
      <c r="A66" s="4" t="n">
        <v>46334</v>
      </c>
      <c r="B66" s="5" t="inlineStr">
        <is>
          <t>S031</t>
        </is>
      </c>
      <c r="C66" s="5" t="inlineStr">
        <is>
          <t>Taipei Neihu</t>
        </is>
      </c>
      <c r="D66" s="5" t="inlineStr">
        <is>
          <t>Checkout</t>
        </is>
      </c>
      <c r="E66" s="5" t="inlineStr">
        <is>
          <t>Z10240</t>
        </is>
      </c>
      <c r="F66" s="5" t="inlineStr"/>
      <c r="G66" s="5" t="inlineStr">
        <is>
          <t>Shu-Hua Yang</t>
        </is>
      </c>
      <c r="H66" s="5" t="inlineStr">
        <is>
          <t>M1</t>
        </is>
      </c>
      <c r="I66" s="6" t="n">
        <v>0.4166666666666667</v>
      </c>
      <c r="J66" s="6" t="n">
        <v>0.75</v>
      </c>
      <c r="K66" s="7">
        <f>(J66-I66)*24</f>
        <v/>
      </c>
      <c r="L66" s="5" t="inlineStr">
        <is>
          <t>On site</t>
        </is>
      </c>
      <c r="M66" s="5" t="inlineStr"/>
    </row>
    <row r="67">
      <c r="A67" s="4" t="n">
        <v>46334</v>
      </c>
      <c r="B67" s="5" t="inlineStr">
        <is>
          <t>S031</t>
        </is>
      </c>
      <c r="C67" s="5" t="inlineStr">
        <is>
          <t>Taipei Neihu</t>
        </is>
      </c>
      <c r="D67" s="5" t="inlineStr">
        <is>
          <t>Checkout</t>
        </is>
      </c>
      <c r="E67" s="5" t="inlineStr">
        <is>
          <t>Z10241</t>
        </is>
      </c>
      <c r="F67" s="5" t="inlineStr"/>
      <c r="G67" s="5" t="inlineStr">
        <is>
          <t>Po-Han Huang</t>
        </is>
      </c>
      <c r="H67" s="5" t="inlineStr">
        <is>
          <t>L2</t>
        </is>
      </c>
      <c r="I67" s="6" t="n">
        <v>0.5833333333333334</v>
      </c>
      <c r="J67" s="6" t="n">
        <v>0.9166666666666666</v>
      </c>
      <c r="K67" s="7">
        <f>(J67-I67)*24</f>
        <v/>
      </c>
      <c r="L67" s="5" t="inlineStr">
        <is>
          <t>On site</t>
        </is>
      </c>
      <c r="M67" s="5" t="inlineStr"/>
    </row>
    <row r="68">
      <c r="A68" s="4" t="n">
        <v>46334</v>
      </c>
      <c r="B68" s="5" t="inlineStr">
        <is>
          <t>S031</t>
        </is>
      </c>
      <c r="C68" s="5" t="inlineStr">
        <is>
          <t>Taipei Neihu</t>
        </is>
      </c>
      <c r="D68" s="5" t="inlineStr">
        <is>
          <t>Back Office</t>
        </is>
      </c>
      <c r="E68" s="5" t="inlineStr">
        <is>
          <t>Z10242</t>
        </is>
      </c>
      <c r="F68" s="5" t="inlineStr"/>
      <c r="G68" s="5" t="inlineStr">
        <is>
          <t>Hsin-Yi Chou</t>
        </is>
      </c>
      <c r="H68" s="5" t="inlineStr">
        <is>
          <t>L2</t>
        </is>
      </c>
      <c r="I68" s="6" t="n">
        <v>0.5833333333333334</v>
      </c>
      <c r="J68" s="6" t="n">
        <v>0.9166666666666666</v>
      </c>
      <c r="K68" s="7">
        <f>(J68-I68)*24</f>
        <v/>
      </c>
      <c r="L68" s="5" t="inlineStr">
        <is>
          <t>On site</t>
        </is>
      </c>
      <c r="M68" s="5" t="inlineStr"/>
    </row>
    <row r="69">
      <c r="A69" s="4" t="n">
        <v>46334</v>
      </c>
      <c r="B69" s="5" t="inlineStr">
        <is>
          <t>S031</t>
        </is>
      </c>
      <c r="C69" s="5" t="inlineStr">
        <is>
          <t>Taipei Neihu</t>
        </is>
      </c>
      <c r="D69" s="5" t="inlineStr">
        <is>
          <t>Sales Floor</t>
        </is>
      </c>
      <c r="E69" s="5" t="inlineStr">
        <is>
          <t>Z10243</t>
        </is>
      </c>
      <c r="F69" s="5" t="inlineStr"/>
      <c r="G69" s="5" t="inlineStr">
        <is>
          <t>Shih-Han Tseng</t>
        </is>
      </c>
      <c r="H69" s="5" t="inlineStr">
        <is>
          <t>P1</t>
        </is>
      </c>
      <c r="I69" s="6" t="n">
        <v>0.4583333333333333</v>
      </c>
      <c r="J69" s="6" t="n">
        <v>0.75</v>
      </c>
      <c r="K69" s="7">
        <f>(J69-I69)*24</f>
        <v/>
      </c>
      <c r="L69" s="5" t="inlineStr">
        <is>
          <t>On site</t>
        </is>
      </c>
      <c r="M69" s="5" t="inlineStr"/>
    </row>
    <row r="70">
      <c r="A70" s="4" t="n">
        <v>46332</v>
      </c>
      <c r="B70" s="5" t="inlineStr">
        <is>
          <t>S008</t>
        </is>
      </c>
      <c r="C70" s="5" t="inlineStr">
        <is>
          <t>Zhonghe Jingan</t>
        </is>
      </c>
      <c r="D70" s="5" t="inlineStr">
        <is>
          <t>Pickup Desk</t>
        </is>
      </c>
      <c r="E70" s="5" t="inlineStr">
        <is>
          <t>Z20000</t>
        </is>
      </c>
      <c r="F70" s="5" t="inlineStr"/>
      <c r="G70" s="5" t="inlineStr">
        <is>
          <t>(omitted)</t>
        </is>
      </c>
      <c r="H70" s="5" t="inlineStr">
        <is>
          <t>E1</t>
        </is>
      </c>
      <c r="I70" s="6" t="n">
        <v>0.375</v>
      </c>
      <c r="J70" s="6" t="n">
        <v>0.7083333333333334</v>
      </c>
      <c r="K70" s="7">
        <f>(J70-I70)*24</f>
        <v/>
      </c>
      <c r="L70" s="5" t="inlineStr">
        <is>
          <t>On site</t>
        </is>
      </c>
      <c r="M70" s="5" t="inlineStr"/>
    </row>
    <row r="71">
      <c r="A71" s="4" t="n">
        <v>46332</v>
      </c>
      <c r="B71" s="5" t="inlineStr">
        <is>
          <t>S008</t>
        </is>
      </c>
      <c r="C71" s="5" t="inlineStr">
        <is>
          <t>Zhonghe Jingan</t>
        </is>
      </c>
      <c r="D71" s="5" t="inlineStr">
        <is>
          <t>Pickup Desk</t>
        </is>
      </c>
      <c r="E71" s="5" t="inlineStr">
        <is>
          <t>Z20001</t>
        </is>
      </c>
      <c r="F71" s="5" t="inlineStr"/>
      <c r="G71" s="5" t="inlineStr">
        <is>
          <t>(omitted)</t>
        </is>
      </c>
      <c r="H71" s="5" t="inlineStr">
        <is>
          <t>E2</t>
        </is>
      </c>
      <c r="I71" s="6" t="n">
        <v>0.375</v>
      </c>
      <c r="J71" s="6" t="n">
        <v>0.75</v>
      </c>
      <c r="K71" s="7">
        <f>(J71-I71)*24</f>
        <v/>
      </c>
      <c r="L71" s="5" t="inlineStr">
        <is>
          <t>On site</t>
        </is>
      </c>
      <c r="M71" s="5" t="inlineStr"/>
    </row>
    <row r="72">
      <c r="A72" s="4" t="n">
        <v>46332</v>
      </c>
      <c r="B72" s="5" t="inlineStr">
        <is>
          <t>S008</t>
        </is>
      </c>
      <c r="C72" s="5" t="inlineStr">
        <is>
          <t>Zhonghe Jingan</t>
        </is>
      </c>
      <c r="D72" s="5" t="inlineStr">
        <is>
          <t>Sales Floor</t>
        </is>
      </c>
      <c r="E72" s="5" t="inlineStr">
        <is>
          <t>Z20002</t>
        </is>
      </c>
      <c r="F72" s="5" t="inlineStr"/>
      <c r="G72" s="5" t="inlineStr">
        <is>
          <t>(omitted)</t>
        </is>
      </c>
      <c r="H72" s="5" t="inlineStr">
        <is>
          <t>M1</t>
        </is>
      </c>
      <c r="I72" s="6" t="n">
        <v>0.4166666666666667</v>
      </c>
      <c r="J72" s="6" t="n">
        <v>0.75</v>
      </c>
      <c r="K72" s="7">
        <f>(J72-I72)*24</f>
        <v/>
      </c>
      <c r="L72" s="5" t="inlineStr">
        <is>
          <t>On site</t>
        </is>
      </c>
      <c r="M72" s="5" t="inlineStr"/>
    </row>
    <row r="73">
      <c r="A73" s="4" t="n">
        <v>46332</v>
      </c>
      <c r="B73" s="5" t="inlineStr">
        <is>
          <t>S008</t>
        </is>
      </c>
      <c r="C73" s="5" t="inlineStr">
        <is>
          <t>Zhonghe Jingan</t>
        </is>
      </c>
      <c r="D73" s="5" t="inlineStr">
        <is>
          <t>Sales Floor</t>
        </is>
      </c>
      <c r="E73" s="5" t="inlineStr">
        <is>
          <t>Z20003</t>
        </is>
      </c>
      <c r="F73" s="5" t="inlineStr"/>
      <c r="G73" s="5" t="inlineStr">
        <is>
          <t>(omitted)</t>
        </is>
      </c>
      <c r="H73" s="5" t="inlineStr">
        <is>
          <t>M3</t>
        </is>
      </c>
      <c r="I73" s="6" t="n">
        <v>0.4166666666666667</v>
      </c>
      <c r="J73" s="6" t="n">
        <v>0.7916666666666666</v>
      </c>
      <c r="K73" s="7">
        <f>(J73-I73)*24</f>
        <v/>
      </c>
      <c r="L73" s="5" t="inlineStr">
        <is>
          <t>On site</t>
        </is>
      </c>
      <c r="M73" s="5" t="inlineStr"/>
    </row>
    <row r="74">
      <c r="A74" s="4" t="n">
        <v>46332</v>
      </c>
      <c r="B74" s="5" t="inlineStr">
        <is>
          <t>S008</t>
        </is>
      </c>
      <c r="C74" s="5" t="inlineStr">
        <is>
          <t>Zhonghe Jingan</t>
        </is>
      </c>
      <c r="D74" s="5" t="inlineStr">
        <is>
          <t>Sales Floor</t>
        </is>
      </c>
      <c r="E74" s="5" t="inlineStr">
        <is>
          <t>Z20004</t>
        </is>
      </c>
      <c r="F74" s="5" t="inlineStr"/>
      <c r="G74" s="5" t="inlineStr">
        <is>
          <t>(omitted)</t>
        </is>
      </c>
      <c r="H74" s="5" t="inlineStr">
        <is>
          <t>L2</t>
        </is>
      </c>
      <c r="I74" s="6" t="n">
        <v>0.5833333333333334</v>
      </c>
      <c r="J74" s="6" t="n">
        <v>0.9166666666666666</v>
      </c>
      <c r="K74" s="7">
        <f>(J74-I74)*24</f>
        <v/>
      </c>
      <c r="L74" s="5" t="inlineStr">
        <is>
          <t>On site</t>
        </is>
      </c>
      <c r="M74" s="5" t="inlineStr"/>
    </row>
    <row r="75">
      <c r="A75" s="4" t="n">
        <v>46332</v>
      </c>
      <c r="B75" s="5" t="inlineStr">
        <is>
          <t>S008</t>
        </is>
      </c>
      <c r="C75" s="5" t="inlineStr">
        <is>
          <t>Zhonghe Jingan</t>
        </is>
      </c>
      <c r="D75" s="5" t="inlineStr">
        <is>
          <t>Sales Floor</t>
        </is>
      </c>
      <c r="E75" s="5" t="inlineStr">
        <is>
          <t>Z20005</t>
        </is>
      </c>
      <c r="F75" s="5" t="inlineStr"/>
      <c r="G75" s="5" t="inlineStr">
        <is>
          <t>(omitted)</t>
        </is>
      </c>
      <c r="H75" s="5" t="inlineStr">
        <is>
          <t>L1</t>
        </is>
      </c>
      <c r="I75" s="6" t="n">
        <v>0.5416666666666666</v>
      </c>
      <c r="J75" s="6" t="n">
        <v>0.9166666666666666</v>
      </c>
      <c r="K75" s="7">
        <f>(J75-I75)*24</f>
        <v/>
      </c>
      <c r="L75" s="5" t="inlineStr">
        <is>
          <t>On site</t>
        </is>
      </c>
      <c r="M75" s="5" t="inlineStr"/>
    </row>
    <row r="76">
      <c r="A76" s="4" t="n">
        <v>46332</v>
      </c>
      <c r="B76" s="5" t="inlineStr">
        <is>
          <t>S008</t>
        </is>
      </c>
      <c r="C76" s="5" t="inlineStr">
        <is>
          <t>Zhonghe Jingan</t>
        </is>
      </c>
      <c r="D76" s="5" t="inlineStr">
        <is>
          <t>Sales Floor</t>
        </is>
      </c>
      <c r="E76" s="5" t="inlineStr">
        <is>
          <t>Z20006</t>
        </is>
      </c>
      <c r="F76" s="5" t="inlineStr"/>
      <c r="G76" s="5" t="inlineStr">
        <is>
          <t>(omitted)</t>
        </is>
      </c>
      <c r="H76" s="5" t="inlineStr">
        <is>
          <t>P1</t>
        </is>
      </c>
      <c r="I76" s="6" t="n">
        <v>0.4583333333333333</v>
      </c>
      <c r="J76" s="6" t="n">
        <v>0.75</v>
      </c>
      <c r="K76" s="7">
        <f>(J76-I76)*24</f>
        <v/>
      </c>
      <c r="L76" s="5" t="inlineStr">
        <is>
          <t>On site</t>
        </is>
      </c>
      <c r="M76" s="5" t="inlineStr"/>
    </row>
    <row r="77">
      <c r="A77" s="4" t="n">
        <v>46332</v>
      </c>
      <c r="B77" s="5" t="inlineStr">
        <is>
          <t>S008</t>
        </is>
      </c>
      <c r="C77" s="5" t="inlineStr">
        <is>
          <t>Zhonghe Jingan</t>
        </is>
      </c>
      <c r="D77" s="5" t="inlineStr">
        <is>
          <t>Sales Floor</t>
        </is>
      </c>
      <c r="E77" s="5" t="inlineStr">
        <is>
          <t>Z20007</t>
        </is>
      </c>
      <c r="F77" s="5" t="inlineStr"/>
      <c r="G77" s="5" t="inlineStr">
        <is>
          <t>(omitted)</t>
        </is>
      </c>
      <c r="H77" s="5" t="inlineStr">
        <is>
          <t>E1</t>
        </is>
      </c>
      <c r="I77" s="6" t="n">
        <v>0.375</v>
      </c>
      <c r="J77" s="6" t="n">
        <v>0.7083333333333334</v>
      </c>
      <c r="K77" s="7">
        <f>(J77-I77)*24</f>
        <v/>
      </c>
      <c r="L77" s="5" t="inlineStr">
        <is>
          <t>On site</t>
        </is>
      </c>
      <c r="M77" s="5" t="inlineStr"/>
    </row>
    <row r="78">
      <c r="A78" s="4" t="n">
        <v>46332</v>
      </c>
      <c r="B78" s="5" t="inlineStr">
        <is>
          <t>S042</t>
        </is>
      </c>
      <c r="C78" s="5" t="inlineStr">
        <is>
          <t>Yunlin Xiluo</t>
        </is>
      </c>
      <c r="D78" s="5" t="inlineStr">
        <is>
          <t>Pickup Desk</t>
        </is>
      </c>
      <c r="E78" s="5" t="inlineStr">
        <is>
          <t>Z20100</t>
        </is>
      </c>
      <c r="F78" s="5" t="inlineStr"/>
      <c r="G78" s="5" t="inlineStr">
        <is>
          <t>(omitted)</t>
        </is>
      </c>
      <c r="H78" s="5" t="inlineStr">
        <is>
          <t>E2</t>
        </is>
      </c>
      <c r="I78" s="6" t="n">
        <v>0.375</v>
      </c>
      <c r="J78" s="6" t="n">
        <v>0.75</v>
      </c>
      <c r="K78" s="7">
        <f>(J78-I78)*24</f>
        <v/>
      </c>
      <c r="L78" s="5" t="inlineStr">
        <is>
          <t>On site</t>
        </is>
      </c>
      <c r="M78" s="5" t="inlineStr"/>
    </row>
    <row r="79">
      <c r="A79" s="4" t="n">
        <v>46332</v>
      </c>
      <c r="B79" s="5" t="inlineStr">
        <is>
          <t>S042</t>
        </is>
      </c>
      <c r="C79" s="5" t="inlineStr">
        <is>
          <t>Yunlin Xiluo</t>
        </is>
      </c>
      <c r="D79" s="5" t="inlineStr">
        <is>
          <t>Pickup Desk</t>
        </is>
      </c>
      <c r="E79" s="5" t="inlineStr">
        <is>
          <t>Z20101</t>
        </is>
      </c>
      <c r="F79" s="5" t="inlineStr"/>
      <c r="G79" s="5" t="inlineStr">
        <is>
          <t>(omitted)</t>
        </is>
      </c>
      <c r="H79" s="5" t="inlineStr">
        <is>
          <t>M1</t>
        </is>
      </c>
      <c r="I79" s="6" t="n">
        <v>0.4166666666666667</v>
      </c>
      <c r="J79" s="6" t="n">
        <v>0.75</v>
      </c>
      <c r="K79" s="7">
        <f>(J79-I79)*24</f>
        <v/>
      </c>
      <c r="L79" s="5" t="inlineStr">
        <is>
          <t>On site</t>
        </is>
      </c>
      <c r="M79" s="5" t="inlineStr"/>
    </row>
    <row r="80">
      <c r="A80" s="4" t="n">
        <v>46332</v>
      </c>
      <c r="B80" s="5" t="inlineStr">
        <is>
          <t>S042</t>
        </is>
      </c>
      <c r="C80" s="5" t="inlineStr">
        <is>
          <t>Yunlin Xiluo</t>
        </is>
      </c>
      <c r="D80" s="5" t="inlineStr">
        <is>
          <t>Sales Floor</t>
        </is>
      </c>
      <c r="E80" s="5" t="inlineStr">
        <is>
          <t>Z20102</t>
        </is>
      </c>
      <c r="F80" s="5" t="inlineStr"/>
      <c r="G80" s="5" t="inlineStr">
        <is>
          <t>(omitted)</t>
        </is>
      </c>
      <c r="H80" s="5" t="inlineStr">
        <is>
          <t>M3</t>
        </is>
      </c>
      <c r="I80" s="6" t="n">
        <v>0.4166666666666667</v>
      </c>
      <c r="J80" s="6" t="n">
        <v>0.7916666666666666</v>
      </c>
      <c r="K80" s="7">
        <f>(J80-I80)*24</f>
        <v/>
      </c>
      <c r="L80" s="5" t="inlineStr">
        <is>
          <t>On site</t>
        </is>
      </c>
      <c r="M80" s="5" t="inlineStr"/>
    </row>
    <row r="81">
      <c r="A81" s="4" t="n">
        <v>46332</v>
      </c>
      <c r="B81" s="5" t="inlineStr">
        <is>
          <t>S042</t>
        </is>
      </c>
      <c r="C81" s="5" t="inlineStr">
        <is>
          <t>Yunlin Xiluo</t>
        </is>
      </c>
      <c r="D81" s="5" t="inlineStr">
        <is>
          <t>Sales Floor</t>
        </is>
      </c>
      <c r="E81" s="5" t="inlineStr">
        <is>
          <t>Z20103</t>
        </is>
      </c>
      <c r="F81" s="5" t="inlineStr"/>
      <c r="G81" s="5" t="inlineStr">
        <is>
          <t>(omitted)</t>
        </is>
      </c>
      <c r="H81" s="5" t="inlineStr">
        <is>
          <t>L2</t>
        </is>
      </c>
      <c r="I81" s="6" t="n">
        <v>0.5833333333333334</v>
      </c>
      <c r="J81" s="6" t="n">
        <v>0.9166666666666666</v>
      </c>
      <c r="K81" s="7">
        <f>(J81-I81)*24</f>
        <v/>
      </c>
      <c r="L81" s="5" t="inlineStr">
        <is>
          <t>On site</t>
        </is>
      </c>
      <c r="M81" s="5" t="inlineStr"/>
    </row>
    <row r="82">
      <c r="A82" s="4" t="n">
        <v>46332</v>
      </c>
      <c r="B82" s="5" t="inlineStr">
        <is>
          <t>S042</t>
        </is>
      </c>
      <c r="C82" s="5" t="inlineStr">
        <is>
          <t>Yunlin Xiluo</t>
        </is>
      </c>
      <c r="D82" s="5" t="inlineStr">
        <is>
          <t>Sales Floor</t>
        </is>
      </c>
      <c r="E82" s="5" t="inlineStr">
        <is>
          <t>Z20104</t>
        </is>
      </c>
      <c r="F82" s="5" t="inlineStr"/>
      <c r="G82" s="5" t="inlineStr">
        <is>
          <t>(omitted)</t>
        </is>
      </c>
      <c r="H82" s="5" t="inlineStr">
        <is>
          <t>L1</t>
        </is>
      </c>
      <c r="I82" s="6" t="n">
        <v>0.5416666666666666</v>
      </c>
      <c r="J82" s="6" t="n">
        <v>0.9166666666666666</v>
      </c>
      <c r="K82" s="7">
        <f>(J82-I82)*24</f>
        <v/>
      </c>
      <c r="L82" s="5" t="inlineStr">
        <is>
          <t>On site</t>
        </is>
      </c>
      <c r="M82" s="5" t="inlineStr"/>
    </row>
    <row r="83">
      <c r="A83" s="4" t="n">
        <v>46332</v>
      </c>
      <c r="B83" s="5" t="inlineStr">
        <is>
          <t>S042</t>
        </is>
      </c>
      <c r="C83" s="5" t="inlineStr">
        <is>
          <t>Yunlin Xiluo</t>
        </is>
      </c>
      <c r="D83" s="5" t="inlineStr">
        <is>
          <t>Sales Floor</t>
        </is>
      </c>
      <c r="E83" s="5" t="inlineStr">
        <is>
          <t>Z20105</t>
        </is>
      </c>
      <c r="F83" s="5" t="inlineStr"/>
      <c r="G83" s="5" t="inlineStr">
        <is>
          <t>(omitted)</t>
        </is>
      </c>
      <c r="H83" s="5" t="inlineStr">
        <is>
          <t>P1</t>
        </is>
      </c>
      <c r="I83" s="6" t="n">
        <v>0.4583333333333333</v>
      </c>
      <c r="J83" s="6" t="n">
        <v>0.75</v>
      </c>
      <c r="K83" s="7">
        <f>(J83-I83)*24</f>
        <v/>
      </c>
      <c r="L83" s="5" t="inlineStr">
        <is>
          <t>On site</t>
        </is>
      </c>
      <c r="M83" s="5" t="inlineStr"/>
    </row>
    <row r="84">
      <c r="A84" s="4" t="n">
        <v>46332</v>
      </c>
      <c r="B84" s="5" t="inlineStr">
        <is>
          <t>S042</t>
        </is>
      </c>
      <c r="C84" s="5" t="inlineStr">
        <is>
          <t>Yunlin Xiluo</t>
        </is>
      </c>
      <c r="D84" s="5" t="inlineStr">
        <is>
          <t>Sales Floor</t>
        </is>
      </c>
      <c r="E84" s="5" t="inlineStr">
        <is>
          <t>Z20106</t>
        </is>
      </c>
      <c r="F84" s="5" t="inlineStr"/>
      <c r="G84" s="5" t="inlineStr">
        <is>
          <t>(omitted)</t>
        </is>
      </c>
      <c r="H84" s="5" t="inlineStr">
        <is>
          <t>E1</t>
        </is>
      </c>
      <c r="I84" s="6" t="n">
        <v>0.375</v>
      </c>
      <c r="J84" s="6" t="n">
        <v>0.7083333333333334</v>
      </c>
      <c r="K84" s="7">
        <f>(J84-I84)*24</f>
        <v/>
      </c>
      <c r="L84" s="5" t="inlineStr">
        <is>
          <t>On site</t>
        </is>
      </c>
      <c r="M84" s="5" t="inlineStr"/>
    </row>
    <row r="85">
      <c r="A85" s="4" t="n">
        <v>46332</v>
      </c>
      <c r="B85" s="5" t="inlineStr">
        <is>
          <t>S042</t>
        </is>
      </c>
      <c r="C85" s="5" t="inlineStr">
        <is>
          <t>Yunlin Xiluo</t>
        </is>
      </c>
      <c r="D85" s="5" t="inlineStr">
        <is>
          <t>Sales Floor</t>
        </is>
      </c>
      <c r="E85" s="5" t="inlineStr">
        <is>
          <t>Z20107</t>
        </is>
      </c>
      <c r="F85" s="5" t="inlineStr"/>
      <c r="G85" s="5" t="inlineStr">
        <is>
          <t>(omitted)</t>
        </is>
      </c>
      <c r="H85" s="5" t="inlineStr">
        <is>
          <t>E2</t>
        </is>
      </c>
      <c r="I85" s="6" t="n">
        <v>0.375</v>
      </c>
      <c r="J85" s="6" t="n">
        <v>0.75</v>
      </c>
      <c r="K85" s="7">
        <f>(J85-I85)*24</f>
        <v/>
      </c>
      <c r="L85" s="5" t="inlineStr">
        <is>
          <t>On site</t>
        </is>
      </c>
      <c r="M85" s="5" t="inlineStr"/>
    </row>
  </sheetData>
  <autoFilter ref="A4:M85"/>
  <conditionalFormatting sqref="K5:K85">
    <cfRule type="expression" priority="1" dxfId="0">
      <formula>$K5&gt;10</formula>
    </cfRule>
  </conditionalFormatting>
  <conditionalFormatting sqref="L5:L85">
    <cfRule type="expression" priority="2" dxfId="1">
      <formula>LEFT($L5,8)="On leave"</formula>
    </cfRule>
  </conditionalFormatting>
  <conditionalFormatting sqref="M5:M85">
    <cfRule type="expression" priority="3" dxfId="2">
      <formula>LEN($M5)&gt;0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0" customWidth="1" min="5" max="5"/>
    <col width="10" customWidth="1" min="6" max="6"/>
    <col width="16" customWidth="1" min="7" max="7"/>
  </cols>
  <sheetData>
    <row r="1">
      <c r="A1" s="1" t="inlineStr">
        <is>
          <t>S031 Daily Scheduled vs Required Hours</t>
        </is>
      </c>
    </row>
    <row r="2">
      <c r="A2" s="2" t="inlineStr">
        <is>
          <t>Scheduled hours = SUMIFS over the Roster Detail sheet (all groups). Required hours come from labour demand model v2 (generated 2026-11-03).</t>
        </is>
      </c>
    </row>
    <row r="4" ht="30" customHeight="1">
      <c r="A4" s="3" t="inlineStr">
        <is>
          <t>Date</t>
        </is>
      </c>
      <c r="B4" s="3" t="inlineStr">
        <is>
          <t>Store Code</t>
        </is>
      </c>
      <c r="C4" s="3" t="inlineStr">
        <is>
          <t>Scheduled (h)</t>
        </is>
      </c>
      <c r="D4" s="3" t="inlineStr">
        <is>
          <t>Required (h)</t>
        </is>
      </c>
      <c r="E4" s="3" t="inlineStr">
        <is>
          <t>Delta (h)</t>
        </is>
      </c>
      <c r="F4" s="3" t="inlineStr">
        <is>
          <t>Delta %</t>
        </is>
      </c>
      <c r="G4" s="3" t="inlineStr">
        <is>
          <t>Daily Cap (h)</t>
        </is>
      </c>
    </row>
    <row r="5">
      <c r="A5" s="4" t="n">
        <v>46330</v>
      </c>
      <c r="B5" s="5" t="inlineStr">
        <is>
          <t>S031</t>
        </is>
      </c>
      <c r="C5" s="7">
        <f>SUMIFS('Roster Detail'!$K:$K,'Roster Detail'!$A:$A,A5,'Roster Detail'!$B:$B,B5)</f>
        <v/>
      </c>
      <c r="D5" s="7" t="n">
        <v>99</v>
      </c>
      <c r="E5" s="7">
        <f>C5-D5</f>
        <v/>
      </c>
      <c r="F5" s="8">
        <f>C5/D5-1</f>
        <v/>
      </c>
      <c r="G5" s="5" t="n">
        <v>10</v>
      </c>
    </row>
    <row r="6">
      <c r="A6" s="4" t="n">
        <v>46331</v>
      </c>
      <c r="B6" s="5" t="inlineStr">
        <is>
          <t>S031</t>
        </is>
      </c>
      <c r="C6" s="7">
        <f>SUMIFS('Roster Detail'!$K:$K,'Roster Detail'!$A:$A,A6,'Roster Detail'!$B:$B,B6)</f>
        <v/>
      </c>
      <c r="D6" s="7" t="n">
        <v>98</v>
      </c>
      <c r="E6" s="7">
        <f>C6-D6</f>
        <v/>
      </c>
      <c r="F6" s="8">
        <f>C6/D6-1</f>
        <v/>
      </c>
      <c r="G6" s="5" t="n">
        <v>10</v>
      </c>
    </row>
    <row r="7">
      <c r="A7" s="4" t="n">
        <v>46332</v>
      </c>
      <c r="B7" s="5" t="inlineStr">
        <is>
          <t>S031</t>
        </is>
      </c>
      <c r="C7" s="7">
        <f>SUMIFS('Roster Detail'!$K:$K,'Roster Detail'!$A:$A,A7,'Roster Detail'!$B:$B,B7)</f>
        <v/>
      </c>
      <c r="D7" s="7" t="n">
        <v>88</v>
      </c>
      <c r="E7" s="7">
        <f>C7-D7</f>
        <v/>
      </c>
      <c r="F7" s="8">
        <f>C7/D7-1</f>
        <v/>
      </c>
      <c r="G7" s="5" t="n">
        <v>10</v>
      </c>
    </row>
    <row r="8">
      <c r="A8" s="4" t="n">
        <v>46333</v>
      </c>
      <c r="B8" s="5" t="inlineStr">
        <is>
          <t>S031</t>
        </is>
      </c>
      <c r="C8" s="7">
        <f>SUMIFS('Roster Detail'!$K:$K,'Roster Detail'!$A:$A,A8,'Roster Detail'!$B:$B,B8)</f>
        <v/>
      </c>
      <c r="D8" s="7" t="n">
        <v>100</v>
      </c>
      <c r="E8" s="7">
        <f>C8-D8</f>
        <v/>
      </c>
      <c r="F8" s="8">
        <f>C8/D8-1</f>
        <v/>
      </c>
      <c r="G8" s="5" t="n">
        <v>10</v>
      </c>
    </row>
    <row r="9">
      <c r="A9" s="4" t="n">
        <v>46334</v>
      </c>
      <c r="B9" s="5" t="inlineStr">
        <is>
          <t>S031</t>
        </is>
      </c>
      <c r="C9" s="7">
        <f>SUMIFS('Roster Detail'!$K:$K,'Roster Detail'!$A:$A,A9,'Roster Detail'!$B:$B,B9)</f>
        <v/>
      </c>
      <c r="D9" s="7" t="n">
        <v>98</v>
      </c>
      <c r="E9" s="7">
        <f>C9-D9</f>
        <v/>
      </c>
      <c r="F9" s="8">
        <f>C9/D9-1</f>
        <v/>
      </c>
      <c r="G9" s="5" t="n">
        <v>10</v>
      </c>
    </row>
    <row r="11">
      <c r="A11" s="2" t="inlineStr">
        <is>
          <t>Note: the summary compares totals only, not hourly distribution.</t>
        </is>
      </c>
    </row>
  </sheetData>
  <conditionalFormatting sqref="E5:E9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Shift Code Table</t>
        </is>
      </c>
    </row>
    <row r="3" ht="30" customHeight="1">
      <c r="A3" s="3" t="inlineStr">
        <is>
          <t>Code</t>
        </is>
      </c>
      <c r="B3" s="3" t="inlineStr">
        <is>
          <t>Name</t>
        </is>
      </c>
      <c r="C3" s="3" t="inlineStr">
        <is>
          <t>Start</t>
        </is>
      </c>
      <c r="D3" s="3" t="inlineStr">
        <is>
          <t>End</t>
        </is>
      </c>
      <c r="E3" s="3" t="inlineStr">
        <is>
          <t>Hours</t>
        </is>
      </c>
    </row>
    <row r="4">
      <c r="A4" s="5" t="inlineStr">
        <is>
          <t>E1</t>
        </is>
      </c>
      <c r="B4" s="5" t="inlineStr">
        <is>
          <t>Early</t>
        </is>
      </c>
      <c r="C4" s="6" t="n">
        <v>0.375</v>
      </c>
      <c r="D4" s="6" t="n">
        <v>0.7083333333333334</v>
      </c>
      <c r="E4" s="7">
        <f>(D4-C4)*24</f>
        <v/>
      </c>
    </row>
    <row r="5">
      <c r="A5" s="5" t="inlineStr">
        <is>
          <t>E2</t>
        </is>
      </c>
      <c r="B5" s="5" t="inlineStr">
        <is>
          <t>Early (long)</t>
        </is>
      </c>
      <c r="C5" s="6" t="n">
        <v>0.375</v>
      </c>
      <c r="D5" s="6" t="n">
        <v>0.75</v>
      </c>
      <c r="E5" s="7">
        <f>(D5-C5)*24</f>
        <v/>
      </c>
    </row>
    <row r="6">
      <c r="A6" s="5" t="inlineStr">
        <is>
          <t>M1</t>
        </is>
      </c>
      <c r="B6" s="5" t="inlineStr">
        <is>
          <t>Mid</t>
        </is>
      </c>
      <c r="C6" s="6" t="n">
        <v>0.4166666666666667</v>
      </c>
      <c r="D6" s="6" t="n">
        <v>0.75</v>
      </c>
      <c r="E6" s="7">
        <f>(D6-C6)*24</f>
        <v/>
      </c>
    </row>
    <row r="7">
      <c r="A7" s="5" t="inlineStr">
        <is>
          <t>M2</t>
        </is>
      </c>
      <c r="B7" s="5" t="inlineStr">
        <is>
          <t>Mid (short)</t>
        </is>
      </c>
      <c r="C7" s="6" t="n">
        <v>0.4583333333333333</v>
      </c>
      <c r="D7" s="6" t="n">
        <v>0.7083333333333334</v>
      </c>
      <c r="E7" s="7">
        <f>(D7-C7)*24</f>
        <v/>
      </c>
    </row>
    <row r="8">
      <c r="A8" s="5" t="inlineStr">
        <is>
          <t>M3</t>
        </is>
      </c>
      <c r="B8" s="5" t="inlineStr">
        <is>
          <t>Mid (long)</t>
        </is>
      </c>
      <c r="C8" s="6" t="n">
        <v>0.4166666666666667</v>
      </c>
      <c r="D8" s="6" t="n">
        <v>0.7916666666666666</v>
      </c>
      <c r="E8" s="7">
        <f>(D8-C8)*24</f>
        <v/>
      </c>
    </row>
    <row r="9">
      <c r="A9" s="5" t="inlineStr">
        <is>
          <t>L1</t>
        </is>
      </c>
      <c r="B9" s="5" t="inlineStr">
        <is>
          <t>Late (long)</t>
        </is>
      </c>
      <c r="C9" s="6" t="n">
        <v>0.5416666666666666</v>
      </c>
      <c r="D9" s="6" t="n">
        <v>0.9166666666666666</v>
      </c>
      <c r="E9" s="7">
        <f>(D9-C9)*24</f>
        <v/>
      </c>
    </row>
    <row r="10">
      <c r="A10" s="5" t="inlineStr">
        <is>
          <t>L2</t>
        </is>
      </c>
      <c r="B10" s="5" t="inlineStr">
        <is>
          <t>Late</t>
        </is>
      </c>
      <c r="C10" s="6" t="n">
        <v>0.5833333333333334</v>
      </c>
      <c r="D10" s="6" t="n">
        <v>0.9166666666666666</v>
      </c>
      <c r="E10" s="7">
        <f>(D10-C10)*24</f>
        <v/>
      </c>
    </row>
    <row r="11">
      <c r="A11" s="5" t="inlineStr">
        <is>
          <t>P1</t>
        </is>
      </c>
      <c r="B11" s="5" t="inlineStr">
        <is>
          <t>Part-time</t>
        </is>
      </c>
      <c r="C11" s="6" t="n">
        <v>0.4583333333333333</v>
      </c>
      <c r="D11" s="6" t="n">
        <v>0.75</v>
      </c>
      <c r="E11" s="7">
        <f>(D11-C11)*24</f>
        <v/>
      </c>
    </row>
    <row r="12">
      <c r="A12" s="5" t="inlineStr">
        <is>
          <t>OFF</t>
        </is>
      </c>
      <c r="B12" s="5" t="inlineStr">
        <is>
          <t>Day off</t>
        </is>
      </c>
      <c r="C12" s="6" t="n"/>
      <c r="D12" s="6" t="n"/>
      <c r="E12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10" customWidth="1" min="5" max="5"/>
  </cols>
  <sheetData>
    <row r="1">
      <c r="A1" s="1" t="inlineStr">
        <is>
          <t>Roster Change Log</t>
        </is>
      </c>
    </row>
    <row r="3" ht="30" customHeight="1">
      <c r="A3" s="3" t="inlineStr">
        <is>
          <t>Changed On</t>
        </is>
      </c>
      <c r="B3" s="3" t="inlineStr">
        <is>
          <t>Store Code</t>
        </is>
      </c>
      <c r="C3" s="3" t="inlineStr">
        <is>
          <t>Employee ID</t>
        </is>
      </c>
      <c r="D3" s="3" t="inlineStr">
        <is>
          <t>Change</t>
        </is>
      </c>
      <c r="E3" s="3" t="inlineStr">
        <is>
          <t>Status</t>
        </is>
      </c>
    </row>
    <row r="4">
      <c r="A4" s="4" t="n">
        <v>46315</v>
      </c>
      <c r="B4" s="5" t="inlineStr">
        <is>
          <t>S031</t>
        </is>
      </c>
      <c r="C4" s="5" t="inlineStr">
        <is>
          <t>Z10231</t>
        </is>
      </c>
      <c r="D4" s="5" t="inlineStr">
        <is>
          <t>Annual leave request for 11-06 (full day)</t>
        </is>
      </c>
      <c r="E4" s="5" t="inlineStr">
        <is>
          <t>Approved</t>
        </is>
      </c>
    </row>
    <row r="5">
      <c r="A5" s="4" t="n">
        <v>46319</v>
      </c>
      <c r="B5" s="5" t="inlineStr">
        <is>
          <t>S031</t>
        </is>
      </c>
      <c r="C5" s="5" t="inlineStr">
        <is>
          <t>Z10241</t>
        </is>
      </c>
      <c r="D5" s="5" t="inlineStr">
        <is>
          <t>11-04 changed from L1 to L2</t>
        </is>
      </c>
      <c r="E5" s="5" t="inlineStr">
        <is>
          <t>Closed</t>
        </is>
      </c>
    </row>
    <row r="6">
      <c r="A6" s="4" t="n">
        <v>46322</v>
      </c>
      <c r="B6" s="5" t="inlineStr">
        <is>
          <t>S031</t>
        </is>
      </c>
      <c r="C6" s="5" t="inlineStr">
        <is>
          <t>Z10233</t>
        </is>
      </c>
      <c r="D6" s="5" t="inlineStr">
        <is>
          <t>Cross-store loan on 11-06 (XS-2611-014)</t>
        </is>
      </c>
      <c r="E6" s="5" t="inlineStr">
        <is>
          <t>Approved</t>
        </is>
      </c>
    </row>
    <row r="7">
      <c r="A7" s="4" t="n">
        <v>46323</v>
      </c>
      <c r="B7" s="5" t="inlineStr">
        <is>
          <t>S031</t>
        </is>
      </c>
      <c r="C7" s="5" t="inlineStr">
        <is>
          <t>Z10237</t>
        </is>
      </c>
      <c r="D7" s="5" t="inlineStr">
        <is>
          <t>11-08 shift swap (with H)</t>
        </is>
      </c>
      <c r="E7" s="5" t="inlineStr">
        <is>
          <t>Closed</t>
        </is>
      </c>
    </row>
    <row r="8">
      <c r="A8" s="4" t="n">
        <v>46325</v>
      </c>
      <c r="B8" s="5" t="inlineStr">
        <is>
          <t>S008</t>
        </is>
      </c>
      <c r="C8" s="5" t="inlineStr">
        <is>
          <t>Z20102</t>
        </is>
      </c>
      <c r="D8" s="5" t="inlineStr">
        <is>
          <t>Overtime request for 11-06</t>
        </is>
      </c>
      <c r="E8" s="5" t="inlineStr">
        <is>
          <t>Pending</t>
        </is>
      </c>
    </row>
    <row r="9">
      <c r="A9" s="4" t="n">
        <v>46328</v>
      </c>
      <c r="B9" s="5" t="inlineStr">
        <is>
          <t>S042</t>
        </is>
      </c>
      <c r="C9" s="5" t="inlineStr">
        <is>
          <t>Z20003</t>
        </is>
      </c>
      <c r="D9" s="5" t="inlineStr">
        <is>
          <t>Sick leave 11-06</t>
        </is>
      </c>
      <c r="E9" s="5" t="inlineStr">
        <is>
          <t>Closed</t>
        </is>
      </c>
    </row>
    <row r="10">
      <c r="A10" s="4" t="n">
        <v>46329</v>
      </c>
      <c r="B10" s="5" t="inlineStr">
        <is>
          <t>S031</t>
        </is>
      </c>
      <c r="C10" s="5" t="inlineStr">
        <is>
          <t>Z10243</t>
        </is>
      </c>
      <c r="D10" s="5" t="inlineStr">
        <is>
          <t>Part-time hours updated</t>
        </is>
      </c>
      <c r="E10" s="5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2026-10-15T19:11:43Z</dcterms:created>
  <dcterms:modified xmlns:dcterms="http://purl.org/dc/terms/" xmlns:xsi="http://www.w3.org/2001/XMLSchema-instance" xsi:type="dcterms:W3CDTF">2026-10-15T19:11:43Z</dcterms:modified>
</cp:coreProperties>
</file>