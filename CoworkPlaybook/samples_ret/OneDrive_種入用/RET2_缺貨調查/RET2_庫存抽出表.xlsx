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抽出" sheetId="1" state="visible" r:id="rId1"/>
    <sheet xmlns:r="http://schemas.openxmlformats.org/officeDocument/2006/relationships" name="門市過量庫存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'庫存抽出'!$A$4:$K$49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FCE4E4"/>
        </patternFill>
      </fill>
    </dxf>
    <dxf>
      <fill>
        <patternFill patternType="solid"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8" customWidth="1" min="4" max="4"/>
    <col width="12" customWidth="1" min="5" max="5"/>
    <col width="2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Zava 零售　庫存抽出表（POS／OMS／WMS 三系統）</t>
        </is>
      </c>
    </row>
    <row r="2">
      <c r="A2" s="2" t="inlineStr">
        <is>
          <t>文件編號 ZR-INV-EXT-2610　抽出日 2026-10-12　維護：庫存與收貨控制組　來源：POS／OMS／WMS 每日批次</t>
        </is>
      </c>
    </row>
    <row r="4" ht="36" customHeight="1">
      <c r="A4" s="3" t="inlineStr">
        <is>
          <t>抽出日</t>
        </is>
      </c>
      <c r="B4" s="3" t="inlineStr">
        <is>
          <t>地點類型</t>
        </is>
      </c>
      <c r="C4" s="3" t="inlineStr">
        <is>
          <t>地點代號</t>
        </is>
      </c>
      <c r="D4" s="3" t="inlineStr">
        <is>
          <t>地點名稱</t>
        </is>
      </c>
      <c r="E4" s="3" t="inlineStr">
        <is>
          <t>SKU</t>
        </is>
      </c>
      <c r="F4" s="3" t="inlineStr">
        <is>
          <t>品名</t>
        </is>
      </c>
      <c r="G4" s="3" t="inlineStr">
        <is>
          <t>庫位</t>
        </is>
      </c>
      <c r="H4" s="3" t="inlineStr">
        <is>
          <t>POS 可售量</t>
        </is>
      </c>
      <c r="I4" s="3" t="inlineStr">
        <is>
          <t>OMS 可承諾量</t>
        </is>
      </c>
      <c r="J4" s="3" t="inlineStr">
        <is>
          <t>WMS 帳面庫存</t>
        </is>
      </c>
      <c r="K4" s="3" t="inlineStr">
        <is>
          <t>檔期預估需求</t>
        </is>
      </c>
    </row>
    <row r="5">
      <c r="A5" s="4" t="n">
        <v>46307</v>
      </c>
      <c r="B5" s="5" t="inlineStr">
        <is>
          <t>DC</t>
        </is>
      </c>
      <c r="C5" s="5" t="inlineStr">
        <is>
          <t>DC01</t>
        </is>
      </c>
      <c r="D5" s="5" t="inlineStr">
        <is>
          <t>桃園配送中心（DC）</t>
        </is>
      </c>
      <c r="E5" s="5" t="inlineStr">
        <is>
          <t>SKU-10482</t>
        </is>
      </c>
      <c r="F5" s="5" t="inlineStr">
        <is>
          <t>保鮮盒組</t>
        </is>
      </c>
      <c r="G5" s="5" t="inlineStr">
        <is>
          <t>RCV-04</t>
        </is>
      </c>
      <c r="H5" s="6" t="n">
        <v>0</v>
      </c>
      <c r="I5" s="6" t="n">
        <v>0</v>
      </c>
      <c r="J5" s="6" t="n">
        <v>240</v>
      </c>
      <c r="K5" s="6" t="n"/>
    </row>
    <row r="6">
      <c r="A6" s="4" t="n">
        <v>46307</v>
      </c>
      <c r="B6" s="5" t="inlineStr">
        <is>
          <t>DC</t>
        </is>
      </c>
      <c r="C6" s="5" t="inlineStr">
        <is>
          <t>DC01</t>
        </is>
      </c>
      <c r="D6" s="5" t="inlineStr">
        <is>
          <t>桃園配送中心（DC）</t>
        </is>
      </c>
      <c r="E6" s="5" t="inlineStr">
        <is>
          <t>SKU-10517</t>
        </is>
      </c>
      <c r="F6" s="5" t="inlineStr">
        <is>
          <t>收納籃</t>
        </is>
      </c>
      <c r="G6" s="5" t="inlineStr">
        <is>
          <t>RCV-04</t>
        </is>
      </c>
      <c r="H6" s="6" t="n">
        <v>0</v>
      </c>
      <c r="I6" s="6" t="n">
        <v>0</v>
      </c>
      <c r="J6" s="6" t="n">
        <v>180</v>
      </c>
      <c r="K6" s="6" t="n"/>
    </row>
    <row r="7">
      <c r="A7" s="4" t="n">
        <v>46307</v>
      </c>
      <c r="B7" s="5" t="inlineStr">
        <is>
          <t>門市</t>
        </is>
      </c>
      <c r="C7" s="5" t="inlineStr">
        <is>
          <t>S003</t>
        </is>
      </c>
      <c r="D7" s="5" t="inlineStr">
        <is>
          <t>台北信義店</t>
        </is>
      </c>
      <c r="E7" s="5" t="inlineStr">
        <is>
          <t>SKU-10482</t>
        </is>
      </c>
      <c r="F7" s="5" t="inlineStr">
        <is>
          <t>保鮮盒組</t>
        </is>
      </c>
      <c r="G7" s="5" t="inlineStr">
        <is>
          <t>SF-01</t>
        </is>
      </c>
      <c r="H7" s="6" t="n">
        <v>0</v>
      </c>
      <c r="I7" s="6" t="n">
        <v>0</v>
      </c>
      <c r="J7" s="6" t="n">
        <v>0</v>
      </c>
      <c r="K7" s="6" t="n">
        <v>100</v>
      </c>
    </row>
    <row r="8">
      <c r="A8" s="4" t="n">
        <v>46307</v>
      </c>
      <c r="B8" s="5" t="inlineStr">
        <is>
          <t>門市</t>
        </is>
      </c>
      <c r="C8" s="5" t="inlineStr">
        <is>
          <t>S011</t>
        </is>
      </c>
      <c r="D8" s="5" t="inlineStr">
        <is>
          <t>台中西屯店</t>
        </is>
      </c>
      <c r="E8" s="5" t="inlineStr">
        <is>
          <t>SKU-10482</t>
        </is>
      </c>
      <c r="F8" s="5" t="inlineStr">
        <is>
          <t>保鮮盒組</t>
        </is>
      </c>
      <c r="G8" s="5" t="inlineStr">
        <is>
          <t>SF-01</t>
        </is>
      </c>
      <c r="H8" s="6" t="n">
        <v>0</v>
      </c>
      <c r="I8" s="6" t="n">
        <v>0</v>
      </c>
      <c r="J8" s="6" t="n">
        <v>0</v>
      </c>
      <c r="K8" s="6" t="n">
        <v>80</v>
      </c>
    </row>
    <row r="9">
      <c r="A9" s="4" t="n">
        <v>46307</v>
      </c>
      <c r="B9" s="5" t="inlineStr">
        <is>
          <t>門市</t>
        </is>
      </c>
      <c r="C9" s="5" t="inlineStr">
        <is>
          <t>S003</t>
        </is>
      </c>
      <c r="D9" s="5" t="inlineStr">
        <is>
          <t>台北信義店</t>
        </is>
      </c>
      <c r="E9" s="5" t="inlineStr">
        <is>
          <t>SKU-10517</t>
        </is>
      </c>
      <c r="F9" s="5" t="inlineStr">
        <is>
          <t>收納籃</t>
        </is>
      </c>
      <c r="G9" s="5" t="inlineStr">
        <is>
          <t>SF-01</t>
        </is>
      </c>
      <c r="H9" s="6" t="n">
        <v>0</v>
      </c>
      <c r="I9" s="6" t="n">
        <v>0</v>
      </c>
      <c r="J9" s="6" t="n">
        <v>0</v>
      </c>
      <c r="K9" s="6" t="n">
        <v>90</v>
      </c>
    </row>
    <row r="10">
      <c r="A10" s="4" t="n">
        <v>46307</v>
      </c>
      <c r="B10" s="5" t="inlineStr">
        <is>
          <t>門市</t>
        </is>
      </c>
      <c r="C10" s="5" t="inlineStr">
        <is>
          <t>S011</t>
        </is>
      </c>
      <c r="D10" s="5" t="inlineStr">
        <is>
          <t>台中西屯店</t>
        </is>
      </c>
      <c r="E10" s="5" t="inlineStr">
        <is>
          <t>SKU-10517</t>
        </is>
      </c>
      <c r="F10" s="5" t="inlineStr">
        <is>
          <t>收納籃</t>
        </is>
      </c>
      <c r="G10" s="5" t="inlineStr">
        <is>
          <t>SF-01</t>
        </is>
      </c>
      <c r="H10" s="6" t="n">
        <v>0</v>
      </c>
      <c r="I10" s="6" t="n">
        <v>0</v>
      </c>
      <c r="J10" s="6" t="n">
        <v>0</v>
      </c>
      <c r="K10" s="6" t="n">
        <v>70</v>
      </c>
    </row>
    <row r="11">
      <c r="A11" s="4" t="n">
        <v>46307</v>
      </c>
      <c r="B11" s="5" t="inlineStr">
        <is>
          <t>門市</t>
        </is>
      </c>
      <c r="C11" s="5" t="inlineStr">
        <is>
          <t>S007</t>
        </is>
      </c>
      <c r="D11" s="5" t="inlineStr">
        <is>
          <t>板橋店</t>
        </is>
      </c>
      <c r="E11" s="5" t="inlineStr">
        <is>
          <t>SKU-10517</t>
        </is>
      </c>
      <c r="F11" s="5" t="inlineStr">
        <is>
          <t>收納籃</t>
        </is>
      </c>
      <c r="G11" s="5" t="inlineStr">
        <is>
          <t>SF-01</t>
        </is>
      </c>
      <c r="H11" s="6" t="n">
        <v>200</v>
      </c>
      <c r="I11" s="6" t="n">
        <v>200</v>
      </c>
      <c r="J11" s="6" t="n">
        <v>200</v>
      </c>
      <c r="K11" s="6" t="n">
        <v>90</v>
      </c>
    </row>
    <row r="12">
      <c r="A12" s="4" t="n">
        <v>46307</v>
      </c>
      <c r="B12" s="5" t="inlineStr">
        <is>
          <t>門市</t>
        </is>
      </c>
      <c r="C12" s="5" t="inlineStr">
        <is>
          <t>S007</t>
        </is>
      </c>
      <c r="D12" s="5" t="inlineStr">
        <is>
          <t>板橋店</t>
        </is>
      </c>
      <c r="E12" s="5" t="inlineStr">
        <is>
          <t>SKU-10482</t>
        </is>
      </c>
      <c r="F12" s="5" t="inlineStr">
        <is>
          <t>保鮮盒組</t>
        </is>
      </c>
      <c r="G12" s="5" t="inlineStr">
        <is>
          <t>SF-01</t>
        </is>
      </c>
      <c r="H12" s="6" t="n">
        <v>0</v>
      </c>
      <c r="I12" s="6" t="n">
        <v>0</v>
      </c>
      <c r="J12" s="6" t="n">
        <v>0</v>
      </c>
      <c r="K12" s="6" t="n">
        <v>60</v>
      </c>
    </row>
    <row r="13">
      <c r="A13" s="4" t="n">
        <v>46307</v>
      </c>
      <c r="B13" s="5" t="inlineStr">
        <is>
          <t>門市</t>
        </is>
      </c>
      <c r="C13" s="5" t="inlineStr">
        <is>
          <t>S019</t>
        </is>
      </c>
      <c r="D13" s="5" t="inlineStr">
        <is>
          <t>新莊店</t>
        </is>
      </c>
      <c r="E13" s="5" t="inlineStr">
        <is>
          <t>SKU-10517</t>
        </is>
      </c>
      <c r="F13" s="5" t="inlineStr">
        <is>
          <t>收納籃</t>
        </is>
      </c>
      <c r="G13" s="5" t="inlineStr">
        <is>
          <t>SF-01</t>
        </is>
      </c>
      <c r="H13" s="6" t="n">
        <v>140</v>
      </c>
      <c r="I13" s="6" t="n">
        <v>140</v>
      </c>
      <c r="J13" s="6" t="n">
        <v>140</v>
      </c>
      <c r="K13" s="6" t="n">
        <v>70</v>
      </c>
    </row>
    <row r="14">
      <c r="A14" s="4" t="n">
        <v>46307</v>
      </c>
      <c r="B14" s="5" t="inlineStr">
        <is>
          <t>門市</t>
        </is>
      </c>
      <c r="C14" s="5" t="inlineStr">
        <is>
          <t>S019</t>
        </is>
      </c>
      <c r="D14" s="5" t="inlineStr">
        <is>
          <t>新莊店</t>
        </is>
      </c>
      <c r="E14" s="5" t="inlineStr">
        <is>
          <t>SKU-10482</t>
        </is>
      </c>
      <c r="F14" s="5" t="inlineStr">
        <is>
          <t>保鮮盒組</t>
        </is>
      </c>
      <c r="G14" s="5" t="inlineStr">
        <is>
          <t>SF-01</t>
        </is>
      </c>
      <c r="H14" s="6" t="n">
        <v>0</v>
      </c>
      <c r="I14" s="6" t="n">
        <v>0</v>
      </c>
      <c r="J14" s="6" t="n">
        <v>0</v>
      </c>
      <c r="K14" s="6" t="n">
        <v>60</v>
      </c>
    </row>
    <row r="15">
      <c r="A15" s="4" t="n">
        <v>46307</v>
      </c>
      <c r="B15" s="5" t="inlineStr">
        <is>
          <t>門市</t>
        </is>
      </c>
      <c r="C15" s="5" t="inlineStr">
        <is>
          <t>S112</t>
        </is>
      </c>
      <c r="D15" s="5" t="inlineStr">
        <is>
          <t>台南麻豆店</t>
        </is>
      </c>
      <c r="E15" s="5" t="inlineStr">
        <is>
          <t>SKU-10399</t>
        </is>
      </c>
      <c r="F15" s="5" t="inlineStr">
        <is>
          <t>玻璃保鮮罐</t>
        </is>
      </c>
      <c r="G15" s="5" t="inlineStr">
        <is>
          <t>SF-01</t>
        </is>
      </c>
      <c r="H15" s="6" t="n">
        <v>46</v>
      </c>
      <c r="I15" s="6" t="n">
        <v>45</v>
      </c>
      <c r="J15" s="6" t="n">
        <v>46</v>
      </c>
      <c r="K15" s="6" t="n">
        <v>80</v>
      </c>
    </row>
    <row r="16">
      <c r="A16" s="4" t="n">
        <v>46307</v>
      </c>
      <c r="B16" s="5" t="inlineStr">
        <is>
          <t>門市</t>
        </is>
      </c>
      <c r="C16" s="5" t="inlineStr">
        <is>
          <t>S112</t>
        </is>
      </c>
      <c r="D16" s="5" t="inlineStr">
        <is>
          <t>台南麻豆店</t>
        </is>
      </c>
      <c r="E16" s="5" t="inlineStr">
        <is>
          <t>SKU-10601</t>
        </is>
      </c>
      <c r="F16" s="5" t="inlineStr">
        <is>
          <t>保溫瓶</t>
        </is>
      </c>
      <c r="G16" s="5" t="inlineStr">
        <is>
          <t>SF-01</t>
        </is>
      </c>
      <c r="H16" s="6" t="n">
        <v>68</v>
      </c>
      <c r="I16" s="6" t="n">
        <v>62</v>
      </c>
      <c r="J16" s="6" t="n">
        <v>71</v>
      </c>
      <c r="K16" s="6" t="n">
        <v>133</v>
      </c>
    </row>
    <row r="17">
      <c r="A17" s="4" t="n">
        <v>46307</v>
      </c>
      <c r="B17" s="5" t="inlineStr">
        <is>
          <t>門市</t>
        </is>
      </c>
      <c r="C17" s="5" t="inlineStr">
        <is>
          <t>S112</t>
        </is>
      </c>
      <c r="D17" s="5" t="inlineStr">
        <is>
          <t>台南麻豆店</t>
        </is>
      </c>
      <c r="E17" s="5" t="inlineStr">
        <is>
          <t>SKU-10845</t>
        </is>
      </c>
      <c r="F17" s="5" t="inlineStr">
        <is>
          <t>餐盤四件組</t>
        </is>
      </c>
      <c r="G17" s="5" t="inlineStr">
        <is>
          <t>SF-01</t>
        </is>
      </c>
      <c r="H17" s="6" t="n">
        <v>227</v>
      </c>
      <c r="I17" s="6" t="n">
        <v>227</v>
      </c>
      <c r="J17" s="6" t="n">
        <v>227</v>
      </c>
      <c r="K17" s="6" t="n">
        <v>24</v>
      </c>
    </row>
    <row r="18">
      <c r="A18" s="4" t="n">
        <v>46307</v>
      </c>
      <c r="B18" s="5" t="inlineStr">
        <is>
          <t>門市</t>
        </is>
      </c>
      <c r="C18" s="5" t="inlineStr">
        <is>
          <t>S112</t>
        </is>
      </c>
      <c r="D18" s="5" t="inlineStr">
        <is>
          <t>台南麻豆店</t>
        </is>
      </c>
      <c r="E18" s="5" t="inlineStr">
        <is>
          <t>SKU-10733</t>
        </is>
      </c>
      <c r="F18" s="5" t="inlineStr">
        <is>
          <t>矽膠鍋鏟組</t>
        </is>
      </c>
      <c r="G18" s="5" t="inlineStr">
        <is>
          <t>SF-01</t>
        </is>
      </c>
      <c r="H18" s="6" t="n">
        <v>73</v>
      </c>
      <c r="I18" s="6" t="n">
        <v>71</v>
      </c>
      <c r="J18" s="6" t="n">
        <v>73</v>
      </c>
      <c r="K18" s="6" t="n">
        <v>49</v>
      </c>
    </row>
    <row r="19">
      <c r="A19" s="4" t="n">
        <v>46307</v>
      </c>
      <c r="B19" s="5" t="inlineStr">
        <is>
          <t>門市</t>
        </is>
      </c>
      <c r="C19" s="5" t="inlineStr">
        <is>
          <t>S068</t>
        </is>
      </c>
      <c r="D19" s="5" t="inlineStr">
        <is>
          <t>台北士林店</t>
        </is>
      </c>
      <c r="E19" s="5" t="inlineStr">
        <is>
          <t>SKU-10733</t>
        </is>
      </c>
      <c r="F19" s="5" t="inlineStr">
        <is>
          <t>矽膠鍋鏟組</t>
        </is>
      </c>
      <c r="G19" s="5" t="inlineStr">
        <is>
          <t>SF-01</t>
        </is>
      </c>
      <c r="H19" s="6" t="n">
        <v>80</v>
      </c>
      <c r="I19" s="6" t="n">
        <v>80</v>
      </c>
      <c r="J19" s="6" t="n">
        <v>80</v>
      </c>
      <c r="K19" s="6" t="n">
        <v>45</v>
      </c>
    </row>
    <row r="20">
      <c r="A20" s="4" t="n">
        <v>46307</v>
      </c>
      <c r="B20" s="5" t="inlineStr">
        <is>
          <t>門市</t>
        </is>
      </c>
      <c r="C20" s="5" t="inlineStr">
        <is>
          <t>S068</t>
        </is>
      </c>
      <c r="D20" s="5" t="inlineStr">
        <is>
          <t>台北士林店</t>
        </is>
      </c>
      <c r="E20" s="5" t="inlineStr">
        <is>
          <t>SKU-10288</t>
        </is>
      </c>
      <c r="F20" s="5" t="inlineStr">
        <is>
          <t>不鏽鋼水壺</t>
        </is>
      </c>
      <c r="G20" s="5" t="inlineStr">
        <is>
          <t>SF-01</t>
        </is>
      </c>
      <c r="H20" s="6" t="n">
        <v>66</v>
      </c>
      <c r="I20" s="6" t="n">
        <v>66</v>
      </c>
      <c r="J20" s="6" t="n">
        <v>66</v>
      </c>
      <c r="K20" s="6" t="n">
        <v>116</v>
      </c>
    </row>
    <row r="21">
      <c r="A21" s="4" t="n">
        <v>46307</v>
      </c>
      <c r="B21" s="5" t="inlineStr">
        <is>
          <t>門市</t>
        </is>
      </c>
      <c r="C21" s="5" t="inlineStr">
        <is>
          <t>S068</t>
        </is>
      </c>
      <c r="D21" s="5" t="inlineStr">
        <is>
          <t>台北士林店</t>
        </is>
      </c>
      <c r="E21" s="5" t="inlineStr">
        <is>
          <t>SKU-10601</t>
        </is>
      </c>
      <c r="F21" s="5" t="inlineStr">
        <is>
          <t>保溫瓶</t>
        </is>
      </c>
      <c r="G21" s="5" t="inlineStr">
        <is>
          <t>SF-01</t>
        </is>
      </c>
      <c r="H21" s="6" t="n">
        <v>125</v>
      </c>
      <c r="I21" s="6" t="n">
        <v>125</v>
      </c>
      <c r="J21" s="6" t="n">
        <v>125</v>
      </c>
      <c r="K21" s="6" t="n">
        <v>126</v>
      </c>
    </row>
    <row r="22">
      <c r="A22" s="4" t="n">
        <v>46307</v>
      </c>
      <c r="B22" s="5" t="inlineStr">
        <is>
          <t>門市</t>
        </is>
      </c>
      <c r="C22" s="5" t="inlineStr">
        <is>
          <t>S068</t>
        </is>
      </c>
      <c r="D22" s="5" t="inlineStr">
        <is>
          <t>台北士林店</t>
        </is>
      </c>
      <c r="E22" s="5" t="inlineStr">
        <is>
          <t>SKU-10399</t>
        </is>
      </c>
      <c r="F22" s="5" t="inlineStr">
        <is>
          <t>玻璃保鮮罐</t>
        </is>
      </c>
      <c r="G22" s="5" t="inlineStr">
        <is>
          <t>SF-01</t>
        </is>
      </c>
      <c r="H22" s="6" t="n">
        <v>202</v>
      </c>
      <c r="I22" s="6" t="n">
        <v>202</v>
      </c>
      <c r="J22" s="6" t="n">
        <v>202</v>
      </c>
      <c r="K22" s="6" t="n">
        <v>68</v>
      </c>
    </row>
    <row r="23">
      <c r="A23" s="4" t="n">
        <v>46307</v>
      </c>
      <c r="B23" s="5" t="inlineStr">
        <is>
          <t>門市</t>
        </is>
      </c>
      <c r="C23" s="5" t="inlineStr">
        <is>
          <t>S053</t>
        </is>
      </c>
      <c r="D23" s="5" t="inlineStr">
        <is>
          <t>蘆洲店</t>
        </is>
      </c>
      <c r="E23" s="5" t="inlineStr">
        <is>
          <t>SKU-10399</t>
        </is>
      </c>
      <c r="F23" s="5" t="inlineStr">
        <is>
          <t>玻璃保鮮罐</t>
        </is>
      </c>
      <c r="G23" s="5" t="inlineStr">
        <is>
          <t>SF-01</t>
        </is>
      </c>
      <c r="H23" s="6" t="n">
        <v>153</v>
      </c>
      <c r="I23" s="6" t="n">
        <v>152</v>
      </c>
      <c r="J23" s="6" t="n">
        <v>153</v>
      </c>
      <c r="K23" s="6" t="n">
        <v>77</v>
      </c>
    </row>
    <row r="24">
      <c r="A24" s="4" t="n">
        <v>46307</v>
      </c>
      <c r="B24" s="5" t="inlineStr">
        <is>
          <t>門市</t>
        </is>
      </c>
      <c r="C24" s="5" t="inlineStr">
        <is>
          <t>S053</t>
        </is>
      </c>
      <c r="D24" s="5" t="inlineStr">
        <is>
          <t>蘆洲店</t>
        </is>
      </c>
      <c r="E24" s="5" t="inlineStr">
        <is>
          <t>SKU-10845</t>
        </is>
      </c>
      <c r="F24" s="5" t="inlineStr">
        <is>
          <t>餐盤四件組</t>
        </is>
      </c>
      <c r="G24" s="5" t="inlineStr">
        <is>
          <t>SF-01</t>
        </is>
      </c>
      <c r="H24" s="6" t="n">
        <v>149</v>
      </c>
      <c r="I24" s="6" t="n">
        <v>149</v>
      </c>
      <c r="J24" s="6" t="n">
        <v>152</v>
      </c>
      <c r="K24" s="6" t="n">
        <v>139</v>
      </c>
    </row>
    <row r="25">
      <c r="A25" s="4" t="n">
        <v>46307</v>
      </c>
      <c r="B25" s="5" t="inlineStr">
        <is>
          <t>門市</t>
        </is>
      </c>
      <c r="C25" s="5" t="inlineStr">
        <is>
          <t>S053</t>
        </is>
      </c>
      <c r="D25" s="5" t="inlineStr">
        <is>
          <t>蘆洲店</t>
        </is>
      </c>
      <c r="E25" s="5" t="inlineStr">
        <is>
          <t>SKU-10601</t>
        </is>
      </c>
      <c r="F25" s="5" t="inlineStr">
        <is>
          <t>保溫瓶</t>
        </is>
      </c>
      <c r="G25" s="5" t="inlineStr">
        <is>
          <t>SF-01</t>
        </is>
      </c>
      <c r="H25" s="6" t="n">
        <v>241</v>
      </c>
      <c r="I25" s="6" t="n">
        <v>240</v>
      </c>
      <c r="J25" s="6" t="n">
        <v>241</v>
      </c>
      <c r="K25" s="6" t="n">
        <v>49</v>
      </c>
    </row>
    <row r="26">
      <c r="A26" s="4" t="n">
        <v>46307</v>
      </c>
      <c r="B26" s="5" t="inlineStr">
        <is>
          <t>門市</t>
        </is>
      </c>
      <c r="C26" s="5" t="inlineStr">
        <is>
          <t>S053</t>
        </is>
      </c>
      <c r="D26" s="5" t="inlineStr">
        <is>
          <t>蘆洲店</t>
        </is>
      </c>
      <c r="E26" s="5" t="inlineStr">
        <is>
          <t>SKU-10733</t>
        </is>
      </c>
      <c r="F26" s="5" t="inlineStr">
        <is>
          <t>矽膠鍋鏟組</t>
        </is>
      </c>
      <c r="G26" s="5" t="inlineStr">
        <is>
          <t>SF-01</t>
        </is>
      </c>
      <c r="H26" s="6" t="n">
        <v>185</v>
      </c>
      <c r="I26" s="6" t="n">
        <v>185</v>
      </c>
      <c r="J26" s="6" t="n">
        <v>189</v>
      </c>
      <c r="K26" s="6" t="n">
        <v>63</v>
      </c>
    </row>
    <row r="27">
      <c r="A27" s="4" t="n">
        <v>46307</v>
      </c>
      <c r="B27" s="5" t="inlineStr">
        <is>
          <t>門市</t>
        </is>
      </c>
      <c r="C27" s="5" t="inlineStr">
        <is>
          <t>S018</t>
        </is>
      </c>
      <c r="D27" s="5" t="inlineStr">
        <is>
          <t>南投草屯店</t>
        </is>
      </c>
      <c r="E27" s="5" t="inlineStr">
        <is>
          <t>SKU-10288</t>
        </is>
      </c>
      <c r="F27" s="5" t="inlineStr">
        <is>
          <t>不鏽鋼水壺</t>
        </is>
      </c>
      <c r="G27" s="5" t="inlineStr">
        <is>
          <t>SF-01</t>
        </is>
      </c>
      <c r="H27" s="6" t="n">
        <v>123</v>
      </c>
      <c r="I27" s="6" t="n">
        <v>123</v>
      </c>
      <c r="J27" s="6" t="n">
        <v>123</v>
      </c>
      <c r="K27" s="6" t="n">
        <v>59</v>
      </c>
    </row>
    <row r="28">
      <c r="A28" s="4" t="n">
        <v>46307</v>
      </c>
      <c r="B28" s="5" t="inlineStr">
        <is>
          <t>門市</t>
        </is>
      </c>
      <c r="C28" s="5" t="inlineStr">
        <is>
          <t>S018</t>
        </is>
      </c>
      <c r="D28" s="5" t="inlineStr">
        <is>
          <t>南投草屯店</t>
        </is>
      </c>
      <c r="E28" s="5" t="inlineStr">
        <is>
          <t>SKU-10601</t>
        </is>
      </c>
      <c r="F28" s="5" t="inlineStr">
        <is>
          <t>保溫瓶</t>
        </is>
      </c>
      <c r="G28" s="5" t="inlineStr">
        <is>
          <t>SF-01</t>
        </is>
      </c>
      <c r="H28" s="6" t="n">
        <v>95</v>
      </c>
      <c r="I28" s="6" t="n">
        <v>94</v>
      </c>
      <c r="J28" s="6" t="n">
        <v>95</v>
      </c>
      <c r="K28" s="6" t="n">
        <v>52</v>
      </c>
    </row>
    <row r="29">
      <c r="A29" s="4" t="n">
        <v>46307</v>
      </c>
      <c r="B29" s="5" t="inlineStr">
        <is>
          <t>門市</t>
        </is>
      </c>
      <c r="C29" s="5" t="inlineStr">
        <is>
          <t>S018</t>
        </is>
      </c>
      <c r="D29" s="5" t="inlineStr">
        <is>
          <t>南投草屯店</t>
        </is>
      </c>
      <c r="E29" s="5" t="inlineStr">
        <is>
          <t>SKU-10733</t>
        </is>
      </c>
      <c r="F29" s="5" t="inlineStr">
        <is>
          <t>矽膠鍋鏟組</t>
        </is>
      </c>
      <c r="G29" s="5" t="inlineStr">
        <is>
          <t>SF-01</t>
        </is>
      </c>
      <c r="H29" s="6" t="n">
        <v>125</v>
      </c>
      <c r="I29" s="6" t="n">
        <v>125</v>
      </c>
      <c r="J29" s="6" t="n">
        <v>125</v>
      </c>
      <c r="K29" s="6" t="n">
        <v>137</v>
      </c>
    </row>
    <row r="30">
      <c r="A30" s="4" t="n">
        <v>46307</v>
      </c>
      <c r="B30" s="5" t="inlineStr">
        <is>
          <t>門市</t>
        </is>
      </c>
      <c r="C30" s="5" t="inlineStr">
        <is>
          <t>S018</t>
        </is>
      </c>
      <c r="D30" s="5" t="inlineStr">
        <is>
          <t>南投草屯店</t>
        </is>
      </c>
      <c r="E30" s="5" t="inlineStr">
        <is>
          <t>SKU-10399</t>
        </is>
      </c>
      <c r="F30" s="5" t="inlineStr">
        <is>
          <t>玻璃保鮮罐</t>
        </is>
      </c>
      <c r="G30" s="5" t="inlineStr">
        <is>
          <t>SF-01</t>
        </is>
      </c>
      <c r="H30" s="6" t="n">
        <v>137</v>
      </c>
      <c r="I30" s="6" t="n">
        <v>137</v>
      </c>
      <c r="J30" s="6" t="n">
        <v>137</v>
      </c>
      <c r="K30" s="6" t="n">
        <v>127</v>
      </c>
    </row>
    <row r="31">
      <c r="A31" s="4" t="n">
        <v>46307</v>
      </c>
      <c r="B31" s="5" t="inlineStr">
        <is>
          <t>門市</t>
        </is>
      </c>
      <c r="C31" s="5" t="inlineStr">
        <is>
          <t>S089</t>
        </is>
      </c>
      <c r="D31" s="5" t="inlineStr">
        <is>
          <t>台中南屯店</t>
        </is>
      </c>
      <c r="E31" s="5" t="inlineStr">
        <is>
          <t>SKU-10601</t>
        </is>
      </c>
      <c r="F31" s="5" t="inlineStr">
        <is>
          <t>保溫瓶</t>
        </is>
      </c>
      <c r="G31" s="5" t="inlineStr">
        <is>
          <t>SF-01</t>
        </is>
      </c>
      <c r="H31" s="6" t="n">
        <v>138</v>
      </c>
      <c r="I31" s="6" t="n">
        <v>138</v>
      </c>
      <c r="J31" s="6" t="n">
        <v>138</v>
      </c>
      <c r="K31" s="6" t="n">
        <v>137</v>
      </c>
    </row>
    <row r="32">
      <c r="A32" s="4" t="n">
        <v>46307</v>
      </c>
      <c r="B32" s="5" t="inlineStr">
        <is>
          <t>門市</t>
        </is>
      </c>
      <c r="C32" s="5" t="inlineStr">
        <is>
          <t>S089</t>
        </is>
      </c>
      <c r="D32" s="5" t="inlineStr">
        <is>
          <t>台中南屯店</t>
        </is>
      </c>
      <c r="E32" s="5" t="inlineStr">
        <is>
          <t>SKU-10845</t>
        </is>
      </c>
      <c r="F32" s="5" t="inlineStr">
        <is>
          <t>餐盤四件組</t>
        </is>
      </c>
      <c r="G32" s="5" t="inlineStr">
        <is>
          <t>SF-01</t>
        </is>
      </c>
      <c r="H32" s="6" t="n">
        <v>193</v>
      </c>
      <c r="I32" s="6" t="n">
        <v>193</v>
      </c>
      <c r="J32" s="6" t="n">
        <v>193</v>
      </c>
      <c r="K32" s="6" t="n">
        <v>47</v>
      </c>
    </row>
    <row r="33">
      <c r="A33" s="4" t="n">
        <v>46307</v>
      </c>
      <c r="B33" s="5" t="inlineStr">
        <is>
          <t>門市</t>
        </is>
      </c>
      <c r="C33" s="5" t="inlineStr">
        <is>
          <t>S089</t>
        </is>
      </c>
      <c r="D33" s="5" t="inlineStr">
        <is>
          <t>台中南屯店</t>
        </is>
      </c>
      <c r="E33" s="5" t="inlineStr">
        <is>
          <t>SKU-10733</t>
        </is>
      </c>
      <c r="F33" s="5" t="inlineStr">
        <is>
          <t>矽膠鍋鏟組</t>
        </is>
      </c>
      <c r="G33" s="5" t="inlineStr">
        <is>
          <t>SF-01</t>
        </is>
      </c>
      <c r="H33" s="6" t="n">
        <v>170</v>
      </c>
      <c r="I33" s="6" t="n">
        <v>170</v>
      </c>
      <c r="J33" s="6" t="n">
        <v>170</v>
      </c>
      <c r="K33" s="6" t="n">
        <v>20</v>
      </c>
    </row>
    <row r="34">
      <c r="A34" s="4" t="n">
        <v>46307</v>
      </c>
      <c r="B34" s="5" t="inlineStr">
        <is>
          <t>門市</t>
        </is>
      </c>
      <c r="C34" s="5" t="inlineStr">
        <is>
          <t>S089</t>
        </is>
      </c>
      <c r="D34" s="5" t="inlineStr">
        <is>
          <t>台中南屯店</t>
        </is>
      </c>
      <c r="E34" s="5" t="inlineStr">
        <is>
          <t>SKU-10288</t>
        </is>
      </c>
      <c r="F34" s="5" t="inlineStr">
        <is>
          <t>不鏽鋼水壺</t>
        </is>
      </c>
      <c r="G34" s="5" t="inlineStr">
        <is>
          <t>SF-01</t>
        </is>
      </c>
      <c r="H34" s="6" t="n">
        <v>84</v>
      </c>
      <c r="I34" s="6" t="n">
        <v>84</v>
      </c>
      <c r="J34" s="6" t="n">
        <v>84</v>
      </c>
      <c r="K34" s="6" t="n">
        <v>93</v>
      </c>
    </row>
    <row r="35">
      <c r="A35" s="4" t="n">
        <v>46307</v>
      </c>
      <c r="B35" s="5" t="inlineStr">
        <is>
          <t>門市</t>
        </is>
      </c>
      <c r="C35" s="5" t="inlineStr">
        <is>
          <t>S088</t>
        </is>
      </c>
      <c r="D35" s="5" t="inlineStr">
        <is>
          <t>屏東恆春店</t>
        </is>
      </c>
      <c r="E35" s="5" t="inlineStr">
        <is>
          <t>SKU-10733</t>
        </is>
      </c>
      <c r="F35" s="5" t="inlineStr">
        <is>
          <t>矽膠鍋鏟組</t>
        </is>
      </c>
      <c r="G35" s="5" t="inlineStr">
        <is>
          <t>SF-01</t>
        </is>
      </c>
      <c r="H35" s="6" t="n">
        <v>214</v>
      </c>
      <c r="I35" s="6" t="n">
        <v>208</v>
      </c>
      <c r="J35" s="6" t="n">
        <v>214</v>
      </c>
      <c r="K35" s="6" t="n">
        <v>99</v>
      </c>
    </row>
    <row r="36">
      <c r="A36" s="4" t="n">
        <v>46307</v>
      </c>
      <c r="B36" s="5" t="inlineStr">
        <is>
          <t>門市</t>
        </is>
      </c>
      <c r="C36" s="5" t="inlineStr">
        <is>
          <t>S088</t>
        </is>
      </c>
      <c r="D36" s="5" t="inlineStr">
        <is>
          <t>屏東恆春店</t>
        </is>
      </c>
      <c r="E36" s="5" t="inlineStr">
        <is>
          <t>SKU-10288</t>
        </is>
      </c>
      <c r="F36" s="5" t="inlineStr">
        <is>
          <t>不鏽鋼水壺</t>
        </is>
      </c>
      <c r="G36" s="5" t="inlineStr">
        <is>
          <t>SF-01</t>
        </is>
      </c>
      <c r="H36" s="6" t="n">
        <v>212</v>
      </c>
      <c r="I36" s="6" t="n">
        <v>212</v>
      </c>
      <c r="J36" s="6" t="n">
        <v>212</v>
      </c>
      <c r="K36" s="6" t="n">
        <v>88</v>
      </c>
    </row>
    <row r="37">
      <c r="A37" s="4" t="n">
        <v>46307</v>
      </c>
      <c r="B37" s="5" t="inlineStr">
        <is>
          <t>門市</t>
        </is>
      </c>
      <c r="C37" s="5" t="inlineStr">
        <is>
          <t>S088</t>
        </is>
      </c>
      <c r="D37" s="5" t="inlineStr">
        <is>
          <t>屏東恆春店</t>
        </is>
      </c>
      <c r="E37" s="5" t="inlineStr">
        <is>
          <t>SKU-10845</t>
        </is>
      </c>
      <c r="F37" s="5" t="inlineStr">
        <is>
          <t>餐盤四件組</t>
        </is>
      </c>
      <c r="G37" s="5" t="inlineStr">
        <is>
          <t>SF-01</t>
        </is>
      </c>
      <c r="H37" s="6" t="n">
        <v>85</v>
      </c>
      <c r="I37" s="6" t="n">
        <v>85</v>
      </c>
      <c r="J37" s="6" t="n">
        <v>85</v>
      </c>
      <c r="K37" s="6" t="n">
        <v>41</v>
      </c>
    </row>
    <row r="38">
      <c r="A38" s="4" t="n">
        <v>46307</v>
      </c>
      <c r="B38" s="5" t="inlineStr">
        <is>
          <t>門市</t>
        </is>
      </c>
      <c r="C38" s="5" t="inlineStr">
        <is>
          <t>S088</t>
        </is>
      </c>
      <c r="D38" s="5" t="inlineStr">
        <is>
          <t>屏東恆春店</t>
        </is>
      </c>
      <c r="E38" s="5" t="inlineStr">
        <is>
          <t>SKU-10601</t>
        </is>
      </c>
      <c r="F38" s="5" t="inlineStr">
        <is>
          <t>保溫瓶</t>
        </is>
      </c>
      <c r="G38" s="5" t="inlineStr">
        <is>
          <t>SF-01</t>
        </is>
      </c>
      <c r="H38" s="6" t="n">
        <v>166</v>
      </c>
      <c r="I38" s="6" t="n">
        <v>166</v>
      </c>
      <c r="J38" s="6" t="n">
        <v>166</v>
      </c>
      <c r="K38" s="6" t="n">
        <v>101</v>
      </c>
    </row>
    <row r="39">
      <c r="A39" s="4" t="n">
        <v>46307</v>
      </c>
      <c r="B39" s="5" t="inlineStr">
        <is>
          <t>門市</t>
        </is>
      </c>
      <c r="C39" s="5" t="inlineStr">
        <is>
          <t>S058</t>
        </is>
      </c>
      <c r="D39" s="5" t="inlineStr">
        <is>
          <t>金門金城店</t>
        </is>
      </c>
      <c r="E39" s="5" t="inlineStr">
        <is>
          <t>SKU-10288</t>
        </is>
      </c>
      <c r="F39" s="5" t="inlineStr">
        <is>
          <t>不鏽鋼水壺</t>
        </is>
      </c>
      <c r="G39" s="5" t="inlineStr">
        <is>
          <t>SF-01</t>
        </is>
      </c>
      <c r="H39" s="6" t="n">
        <v>58</v>
      </c>
      <c r="I39" s="6" t="n">
        <v>58</v>
      </c>
      <c r="J39" s="6" t="n">
        <v>61</v>
      </c>
      <c r="K39" s="6" t="n">
        <v>76</v>
      </c>
    </row>
    <row r="40">
      <c r="A40" s="4" t="n">
        <v>46307</v>
      </c>
      <c r="B40" s="5" t="inlineStr">
        <is>
          <t>門市</t>
        </is>
      </c>
      <c r="C40" s="5" t="inlineStr">
        <is>
          <t>S058</t>
        </is>
      </c>
      <c r="D40" s="5" t="inlineStr">
        <is>
          <t>金門金城店</t>
        </is>
      </c>
      <c r="E40" s="5" t="inlineStr">
        <is>
          <t>SKU-10845</t>
        </is>
      </c>
      <c r="F40" s="5" t="inlineStr">
        <is>
          <t>餐盤四件組</t>
        </is>
      </c>
      <c r="G40" s="5" t="inlineStr">
        <is>
          <t>SF-01</t>
        </is>
      </c>
      <c r="H40" s="6" t="n">
        <v>145</v>
      </c>
      <c r="I40" s="6" t="n">
        <v>142</v>
      </c>
      <c r="J40" s="6" t="n">
        <v>145</v>
      </c>
      <c r="K40" s="6" t="n">
        <v>68</v>
      </c>
    </row>
    <row r="41">
      <c r="A41" s="4" t="n">
        <v>46307</v>
      </c>
      <c r="B41" s="5" t="inlineStr">
        <is>
          <t>門市</t>
        </is>
      </c>
      <c r="C41" s="5" t="inlineStr">
        <is>
          <t>S058</t>
        </is>
      </c>
      <c r="D41" s="5" t="inlineStr">
        <is>
          <t>金門金城店</t>
        </is>
      </c>
      <c r="E41" s="5" t="inlineStr">
        <is>
          <t>SKU-10399</t>
        </is>
      </c>
      <c r="F41" s="5" t="inlineStr">
        <is>
          <t>玻璃保鮮罐</t>
        </is>
      </c>
      <c r="G41" s="5" t="inlineStr">
        <is>
          <t>SF-01</t>
        </is>
      </c>
      <c r="H41" s="6" t="n">
        <v>94</v>
      </c>
      <c r="I41" s="6" t="n">
        <v>94</v>
      </c>
      <c r="J41" s="6" t="n">
        <v>94</v>
      </c>
      <c r="K41" s="6" t="n">
        <v>129</v>
      </c>
    </row>
    <row r="42">
      <c r="A42" s="4" t="n">
        <v>46307</v>
      </c>
      <c r="B42" s="5" t="inlineStr">
        <is>
          <t>門市</t>
        </is>
      </c>
      <c r="C42" s="5" t="inlineStr">
        <is>
          <t>S058</t>
        </is>
      </c>
      <c r="D42" s="5" t="inlineStr">
        <is>
          <t>金門金城店</t>
        </is>
      </c>
      <c r="E42" s="5" t="inlineStr">
        <is>
          <t>SKU-10601</t>
        </is>
      </c>
      <c r="F42" s="5" t="inlineStr">
        <is>
          <t>保溫瓶</t>
        </is>
      </c>
      <c r="G42" s="5" t="inlineStr">
        <is>
          <t>SF-01</t>
        </is>
      </c>
      <c r="H42" s="6" t="n">
        <v>38</v>
      </c>
      <c r="I42" s="6" t="n">
        <v>38</v>
      </c>
      <c r="J42" s="6" t="n">
        <v>39</v>
      </c>
      <c r="K42" s="6" t="n">
        <v>112</v>
      </c>
    </row>
    <row r="43">
      <c r="A43" s="4" t="n">
        <v>46307</v>
      </c>
      <c r="B43" s="5" t="inlineStr">
        <is>
          <t>門市</t>
        </is>
      </c>
      <c r="C43" s="5" t="inlineStr">
        <is>
          <t>S102</t>
        </is>
      </c>
      <c r="D43" s="5" t="inlineStr">
        <is>
          <t>花蓮吉安店</t>
        </is>
      </c>
      <c r="E43" s="5" t="inlineStr">
        <is>
          <t>SKU-10733</t>
        </is>
      </c>
      <c r="F43" s="5" t="inlineStr">
        <is>
          <t>矽膠鍋鏟組</t>
        </is>
      </c>
      <c r="G43" s="5" t="inlineStr">
        <is>
          <t>SF-01</t>
        </is>
      </c>
      <c r="H43" s="6" t="n">
        <v>63</v>
      </c>
      <c r="I43" s="6" t="n">
        <v>63</v>
      </c>
      <c r="J43" s="6" t="n">
        <v>63</v>
      </c>
      <c r="K43" s="6" t="n">
        <v>87</v>
      </c>
    </row>
    <row r="44">
      <c r="A44" s="4" t="n">
        <v>46307</v>
      </c>
      <c r="B44" s="5" t="inlineStr">
        <is>
          <t>門市</t>
        </is>
      </c>
      <c r="C44" s="5" t="inlineStr">
        <is>
          <t>S102</t>
        </is>
      </c>
      <c r="D44" s="5" t="inlineStr">
        <is>
          <t>花蓮吉安店</t>
        </is>
      </c>
      <c r="E44" s="5" t="inlineStr">
        <is>
          <t>SKU-10288</t>
        </is>
      </c>
      <c r="F44" s="5" t="inlineStr">
        <is>
          <t>不鏽鋼水壺</t>
        </is>
      </c>
      <c r="G44" s="5" t="inlineStr">
        <is>
          <t>SF-01</t>
        </is>
      </c>
      <c r="H44" s="6" t="n">
        <v>96</v>
      </c>
      <c r="I44" s="6" t="n">
        <v>96</v>
      </c>
      <c r="J44" s="6" t="n">
        <v>96</v>
      </c>
      <c r="K44" s="6" t="n">
        <v>98</v>
      </c>
    </row>
    <row r="45">
      <c r="A45" s="4" t="n">
        <v>46307</v>
      </c>
      <c r="B45" s="5" t="inlineStr">
        <is>
          <t>門市</t>
        </is>
      </c>
      <c r="C45" s="5" t="inlineStr">
        <is>
          <t>S102</t>
        </is>
      </c>
      <c r="D45" s="5" t="inlineStr">
        <is>
          <t>花蓮吉安店</t>
        </is>
      </c>
      <c r="E45" s="5" t="inlineStr">
        <is>
          <t>SKU-10601</t>
        </is>
      </c>
      <c r="F45" s="5" t="inlineStr">
        <is>
          <t>保溫瓶</t>
        </is>
      </c>
      <c r="G45" s="5" t="inlineStr">
        <is>
          <t>SF-01</t>
        </is>
      </c>
      <c r="H45" s="6" t="n">
        <v>54</v>
      </c>
      <c r="I45" s="6" t="n">
        <v>54</v>
      </c>
      <c r="J45" s="6" t="n">
        <v>56</v>
      </c>
      <c r="K45" s="6" t="n">
        <v>35</v>
      </c>
    </row>
    <row r="46">
      <c r="A46" s="4" t="n">
        <v>46307</v>
      </c>
      <c r="B46" s="5" t="inlineStr">
        <is>
          <t>門市</t>
        </is>
      </c>
      <c r="C46" s="5" t="inlineStr">
        <is>
          <t>S102</t>
        </is>
      </c>
      <c r="D46" s="5" t="inlineStr">
        <is>
          <t>花蓮吉安店</t>
        </is>
      </c>
      <c r="E46" s="5" t="inlineStr">
        <is>
          <t>SKU-10399</t>
        </is>
      </c>
      <c r="F46" s="5" t="inlineStr">
        <is>
          <t>玻璃保鮮罐</t>
        </is>
      </c>
      <c r="G46" s="5" t="inlineStr">
        <is>
          <t>SF-01</t>
        </is>
      </c>
      <c r="H46" s="6" t="n">
        <v>58</v>
      </c>
      <c r="I46" s="6" t="n">
        <v>58</v>
      </c>
      <c r="J46" s="6" t="n">
        <v>58</v>
      </c>
      <c r="K46" s="6" t="n">
        <v>113</v>
      </c>
    </row>
    <row r="47">
      <c r="A47" s="4" t="n">
        <v>46307</v>
      </c>
      <c r="B47" s="5" t="inlineStr">
        <is>
          <t>DC</t>
        </is>
      </c>
      <c r="C47" s="5" t="inlineStr">
        <is>
          <t>DC01</t>
        </is>
      </c>
      <c r="D47" s="5" t="inlineStr">
        <is>
          <t>桃園配送中心（DC）</t>
        </is>
      </c>
      <c r="E47" s="5" t="inlineStr">
        <is>
          <t>SKU-10399</t>
        </is>
      </c>
      <c r="F47" s="5" t="inlineStr">
        <is>
          <t>玻璃保鮮罐</t>
        </is>
      </c>
      <c r="G47" s="5" t="inlineStr">
        <is>
          <t>PICK-02</t>
        </is>
      </c>
      <c r="H47" s="6" t="n">
        <v>0</v>
      </c>
      <c r="I47" s="6" t="n">
        <v>1612</v>
      </c>
      <c r="J47" s="6" t="n">
        <v>2320</v>
      </c>
      <c r="K47" s="6" t="n"/>
    </row>
    <row r="48">
      <c r="A48" s="4" t="n">
        <v>46307</v>
      </c>
      <c r="B48" s="5" t="inlineStr">
        <is>
          <t>DC</t>
        </is>
      </c>
      <c r="C48" s="5" t="inlineStr">
        <is>
          <t>DC01</t>
        </is>
      </c>
      <c r="D48" s="5" t="inlineStr">
        <is>
          <t>桃園配送中心（DC）</t>
        </is>
      </c>
      <c r="E48" s="5" t="inlineStr">
        <is>
          <t>SKU-10288</t>
        </is>
      </c>
      <c r="F48" s="5" t="inlineStr">
        <is>
          <t>不鏽鋼水壺</t>
        </is>
      </c>
      <c r="G48" s="5" t="inlineStr">
        <is>
          <t>PICK-02</t>
        </is>
      </c>
      <c r="H48" s="6" t="n">
        <v>0</v>
      </c>
      <c r="I48" s="6" t="n">
        <v>2242</v>
      </c>
      <c r="J48" s="6" t="n">
        <v>2589</v>
      </c>
      <c r="K48" s="6" t="n"/>
    </row>
    <row r="49">
      <c r="A49" s="4" t="n">
        <v>46307</v>
      </c>
      <c r="B49" s="5" t="inlineStr">
        <is>
          <t>DC</t>
        </is>
      </c>
      <c r="C49" s="5" t="inlineStr">
        <is>
          <t>DC01</t>
        </is>
      </c>
      <c r="D49" s="5" t="inlineStr">
        <is>
          <t>桃園配送中心（DC）</t>
        </is>
      </c>
      <c r="E49" s="5" t="inlineStr">
        <is>
          <t>SKU-10601</t>
        </is>
      </c>
      <c r="F49" s="5" t="inlineStr">
        <is>
          <t>保溫瓶</t>
        </is>
      </c>
      <c r="G49" s="5" t="inlineStr">
        <is>
          <t>PICK-02</t>
        </is>
      </c>
      <c r="H49" s="6" t="n">
        <v>0</v>
      </c>
      <c r="I49" s="6" t="n">
        <v>1120</v>
      </c>
      <c r="J49" s="6" t="n">
        <v>1409</v>
      </c>
      <c r="K49" s="6" t="n"/>
    </row>
  </sheetData>
  <autoFilter ref="A4:K49"/>
  <conditionalFormatting sqref="H5:H49">
    <cfRule type="cellIs" priority="1" operator="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22" customWidth="1" min="4" max="4"/>
    <col width="11" customWidth="1" min="5" max="5"/>
    <col width="14" customWidth="1" min="6" max="6"/>
    <col width="12" customWidth="1" min="7" max="7"/>
    <col width="28" customWidth="1" min="8" max="8"/>
  </cols>
  <sheetData>
    <row r="1">
      <c r="A1" s="1" t="inlineStr">
        <is>
          <t>門市過量庫存（庫存 − 未來 14 日需求）</t>
        </is>
      </c>
    </row>
    <row r="2">
      <c r="A2" s="2" t="inlineStr">
        <is>
          <t>抽出日 2026-10-12　僅列有庫存的門市與 SKU；是否可調出依調撥作業規範</t>
        </is>
      </c>
    </row>
    <row r="4" ht="36" customHeight="1">
      <c r="A4" s="3" t="inlineStr">
        <is>
          <t>門市代號</t>
        </is>
      </c>
      <c r="B4" s="3" t="inlineStr">
        <is>
          <t>門市名</t>
        </is>
      </c>
      <c r="C4" s="3" t="inlineStr">
        <is>
          <t>SKU</t>
        </is>
      </c>
      <c r="D4" s="3" t="inlineStr">
        <is>
          <t>品名</t>
        </is>
      </c>
      <c r="E4" s="3" t="inlineStr">
        <is>
          <t>現有庫存</t>
        </is>
      </c>
      <c r="F4" s="3" t="inlineStr">
        <is>
          <t>未來 14 日需求</t>
        </is>
      </c>
      <c r="G4" s="3" t="inlineStr">
        <is>
          <t>過量庫存</t>
        </is>
      </c>
      <c r="H4" s="3" t="inlineStr">
        <is>
          <t>備註</t>
        </is>
      </c>
    </row>
    <row r="5">
      <c r="A5" s="5" t="inlineStr">
        <is>
          <t>S007</t>
        </is>
      </c>
      <c r="B5" s="5" t="inlineStr">
        <is>
          <t>板橋店</t>
        </is>
      </c>
      <c r="C5" s="5" t="inlineStr">
        <is>
          <t>SKU-10517</t>
        </is>
      </c>
      <c r="D5" s="5" t="inlineStr">
        <is>
          <t>收納籃</t>
        </is>
      </c>
      <c r="E5" s="6" t="n">
        <v>200</v>
      </c>
      <c r="F5" s="6" t="n">
        <v>80</v>
      </c>
      <c r="G5" s="6">
        <f>E5-F5</f>
        <v/>
      </c>
      <c r="H5" s="5" t="n"/>
    </row>
    <row r="6">
      <c r="A6" s="5" t="inlineStr">
        <is>
          <t>S018</t>
        </is>
      </c>
      <c r="B6" s="5" t="inlineStr">
        <is>
          <t>南投草屯店</t>
        </is>
      </c>
      <c r="C6" s="5" t="inlineStr">
        <is>
          <t>SKU-10517</t>
        </is>
      </c>
      <c r="D6" s="5" t="inlineStr">
        <is>
          <t>收納籃</t>
        </is>
      </c>
      <c r="E6" s="6" t="n">
        <v>55</v>
      </c>
      <c r="F6" s="6" t="n">
        <v>68</v>
      </c>
      <c r="G6" s="6">
        <f>E6-F6</f>
        <v/>
      </c>
      <c r="H6" s="5" t="n"/>
    </row>
    <row r="7">
      <c r="A7" s="5" t="inlineStr">
        <is>
          <t>S019</t>
        </is>
      </c>
      <c r="B7" s="5" t="inlineStr">
        <is>
          <t>新莊店</t>
        </is>
      </c>
      <c r="C7" s="5" t="inlineStr">
        <is>
          <t>SKU-10517</t>
        </is>
      </c>
      <c r="D7" s="5" t="inlineStr">
        <is>
          <t>收納籃</t>
        </is>
      </c>
      <c r="E7" s="6" t="n">
        <v>140</v>
      </c>
      <c r="F7" s="6" t="n">
        <v>60</v>
      </c>
      <c r="G7" s="6">
        <f>E7-F7</f>
        <v/>
      </c>
      <c r="H7" s="5" t="n"/>
    </row>
    <row r="8">
      <c r="A8" s="5" t="inlineStr">
        <is>
          <t>S029</t>
        </is>
      </c>
      <c r="B8" s="5" t="inlineStr">
        <is>
          <t>淡水新市鎮店</t>
        </is>
      </c>
      <c r="C8" s="5" t="inlineStr">
        <is>
          <t>SKU-10517</t>
        </is>
      </c>
      <c r="D8" s="5" t="inlineStr">
        <is>
          <t>收納籃</t>
        </is>
      </c>
      <c r="E8" s="6" t="n">
        <v>35</v>
      </c>
      <c r="F8" s="6" t="n">
        <v>55</v>
      </c>
      <c r="G8" s="6">
        <f>E8-F8</f>
        <v/>
      </c>
      <c r="H8" s="5" t="n"/>
    </row>
    <row r="9">
      <c r="A9" s="5" t="inlineStr">
        <is>
          <t>S030</t>
        </is>
      </c>
      <c r="B9" s="5" t="inlineStr">
        <is>
          <t>台中烏日店</t>
        </is>
      </c>
      <c r="C9" s="5" t="inlineStr">
        <is>
          <t>SKU-10517</t>
        </is>
      </c>
      <c r="D9" s="5" t="inlineStr">
        <is>
          <t>收納籃</t>
        </is>
      </c>
      <c r="E9" s="6" t="n">
        <v>71</v>
      </c>
      <c r="F9" s="6" t="n">
        <v>64</v>
      </c>
      <c r="G9" s="6">
        <f>E9-F9</f>
        <v/>
      </c>
      <c r="H9" s="5" t="n"/>
    </row>
    <row r="10">
      <c r="A10" s="5" t="inlineStr">
        <is>
          <t>S035</t>
        </is>
      </c>
      <c r="B10" s="5" t="inlineStr">
        <is>
          <t>瑞芳店</t>
        </is>
      </c>
      <c r="C10" s="5" t="inlineStr">
        <is>
          <t>SKU-10482</t>
        </is>
      </c>
      <c r="D10" s="5" t="inlineStr">
        <is>
          <t>保鮮盒組</t>
        </is>
      </c>
      <c r="E10" s="6" t="n">
        <v>75</v>
      </c>
      <c r="F10" s="6" t="n">
        <v>89</v>
      </c>
      <c r="G10" s="6">
        <f>E10-F10</f>
        <v/>
      </c>
      <c r="H10" s="5" t="n"/>
    </row>
    <row r="11">
      <c r="A11" s="5" t="inlineStr">
        <is>
          <t>S037</t>
        </is>
      </c>
      <c r="B11" s="5" t="inlineStr">
        <is>
          <t>新莊副都心店</t>
        </is>
      </c>
      <c r="C11" s="5" t="inlineStr">
        <is>
          <t>SKU-10517</t>
        </is>
      </c>
      <c r="D11" s="5" t="inlineStr">
        <is>
          <t>收納籃</t>
        </is>
      </c>
      <c r="E11" s="6" t="n">
        <v>79</v>
      </c>
      <c r="F11" s="6" t="n">
        <v>104</v>
      </c>
      <c r="G11" s="6">
        <f>E11-F11</f>
        <v/>
      </c>
      <c r="H11" s="5" t="n"/>
    </row>
    <row r="12">
      <c r="A12" s="5" t="inlineStr">
        <is>
          <t>S042</t>
        </is>
      </c>
      <c r="B12" s="5" t="inlineStr">
        <is>
          <t>雲林西螺店</t>
        </is>
      </c>
      <c r="C12" s="5" t="inlineStr">
        <is>
          <t>SKU-10517</t>
        </is>
      </c>
      <c r="D12" s="5" t="inlineStr">
        <is>
          <t>收納籃</t>
        </is>
      </c>
      <c r="E12" s="6" t="n">
        <v>75</v>
      </c>
      <c r="F12" s="6" t="n">
        <v>65</v>
      </c>
      <c r="G12" s="6">
        <f>E12-F12</f>
        <v/>
      </c>
      <c r="H12" s="5" t="n"/>
    </row>
    <row r="13">
      <c r="A13" s="5" t="inlineStr">
        <is>
          <t>S046</t>
        </is>
      </c>
      <c r="B13" s="5" t="inlineStr">
        <is>
          <t>高雄苓雅店</t>
        </is>
      </c>
      <c r="C13" s="5" t="inlineStr">
        <is>
          <t>SKU-10482</t>
        </is>
      </c>
      <c r="D13" s="5" t="inlineStr">
        <is>
          <t>保鮮盒組</t>
        </is>
      </c>
      <c r="E13" s="6" t="n">
        <v>49</v>
      </c>
      <c r="F13" s="6" t="n">
        <v>43</v>
      </c>
      <c r="G13" s="6">
        <f>E13-F13</f>
        <v/>
      </c>
      <c r="H13" s="5" t="n"/>
    </row>
    <row r="14">
      <c r="A14" s="5" t="inlineStr">
        <is>
          <t>S065</t>
        </is>
      </c>
      <c r="B14" s="5" t="inlineStr">
        <is>
          <t>中和店</t>
        </is>
      </c>
      <c r="C14" s="5" t="inlineStr">
        <is>
          <t>SKU-10482</t>
        </is>
      </c>
      <c r="D14" s="5" t="inlineStr">
        <is>
          <t>保鮮盒組</t>
        </is>
      </c>
      <c r="E14" s="6" t="n">
        <v>87</v>
      </c>
      <c r="F14" s="6" t="n">
        <v>108</v>
      </c>
      <c r="G14" s="6">
        <f>E14-F14</f>
        <v/>
      </c>
      <c r="H14" s="5" t="n"/>
    </row>
    <row r="15">
      <c r="A15" s="5" t="inlineStr">
        <is>
          <t>S107</t>
        </is>
      </c>
      <c r="B15" s="5" t="inlineStr">
        <is>
          <t>宜蘭蘇澳店</t>
        </is>
      </c>
      <c r="C15" s="5" t="inlineStr">
        <is>
          <t>SKU-10482</t>
        </is>
      </c>
      <c r="D15" s="5" t="inlineStr">
        <is>
          <t>保鮮盒組</t>
        </is>
      </c>
      <c r="E15" s="6" t="n">
        <v>54</v>
      </c>
      <c r="F15" s="6" t="n">
        <v>70</v>
      </c>
      <c r="G15" s="6">
        <f>E15-F15</f>
        <v/>
      </c>
      <c r="H15" s="5" t="n"/>
    </row>
    <row r="16">
      <c r="A16" s="5" t="inlineStr">
        <is>
          <t>S110</t>
        </is>
      </c>
      <c r="B16" s="5" t="inlineStr">
        <is>
          <t>苗栗苗栗店</t>
        </is>
      </c>
      <c r="C16" s="5" t="inlineStr">
        <is>
          <t>SKU-10517</t>
        </is>
      </c>
      <c r="D16" s="5" t="inlineStr">
        <is>
          <t>收納籃</t>
        </is>
      </c>
      <c r="E16" s="6" t="n">
        <v>82</v>
      </c>
      <c r="F16" s="6" t="n">
        <v>73</v>
      </c>
      <c r="G16" s="6">
        <f>E16-F16</f>
        <v/>
      </c>
      <c r="H16" s="5" t="n"/>
    </row>
  </sheetData>
  <conditionalFormatting sqref="G5:G16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欄位說明</t>
        </is>
      </c>
    </row>
    <row r="3" ht="24" customHeight="1">
      <c r="A3" s="3" t="inlineStr">
        <is>
          <t>欄位</t>
        </is>
      </c>
      <c r="B3" s="3" t="inlineStr">
        <is>
          <t>說明</t>
        </is>
      </c>
    </row>
    <row r="4">
      <c r="A4" s="5" t="inlineStr">
        <is>
          <t>POS 可售量</t>
        </is>
      </c>
      <c r="B4" s="7" t="inlineStr">
        <is>
          <t>POS 系統目前顯示可售的件數；0 表示收銀端無法銷售</t>
        </is>
      </c>
    </row>
    <row r="5">
      <c r="A5" s="5" t="inlineStr">
        <is>
          <t>OMS 可承諾量</t>
        </is>
      </c>
      <c r="B5" s="7" t="inlineStr">
        <is>
          <t>訂單管理系統可對顧客承諾的件數</t>
        </is>
      </c>
    </row>
    <row r="6">
      <c r="A6" s="5" t="inlineStr">
        <is>
          <t>WMS 帳面庫存</t>
        </is>
      </c>
      <c r="B6" s="7" t="inlineStr">
        <is>
          <t>倉儲／門市庫存系統記錄的實體帳面件數</t>
        </is>
      </c>
    </row>
    <row r="7">
      <c r="A7" s="5" t="inlineStr">
        <is>
          <t>庫位</t>
        </is>
      </c>
      <c r="B7" s="7" t="inlineStr">
        <is>
          <t>WMS 庫位區代碼；RCV 開頭為收貨區，PICK 為揀貨區，SF 為門市銷售區</t>
        </is>
      </c>
    </row>
    <row r="8">
      <c r="A8" s="5" t="inlineStr">
        <is>
          <t>檔期預估需求</t>
        </is>
      </c>
      <c r="B8" s="7" t="inlineStr">
        <is>
          <t>週年慶檔期該門市預估銷售件數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