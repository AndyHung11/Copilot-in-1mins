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銷售彙總" sheetId="1" state="visible" r:id="rId1"/>
    <sheet xmlns:r="http://schemas.openxmlformats.org/officeDocument/2006/relationships" name="分區明細" sheetId="2" state="visible" r:id="rId2"/>
    <sheet xmlns:r="http://schemas.openxmlformats.org/officeDocument/2006/relationships" name="品類明細" sheetId="3" state="visible" r:id="rId3"/>
    <sheet xmlns:r="http://schemas.openxmlformats.org/officeDocument/2006/relationships" name="基期週明細" sheetId="4" state="visible" r:id="rId4"/>
    <sheet xmlns:r="http://schemas.openxmlformats.org/officeDocument/2006/relationships" name="備註與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+0.0%;-0.0%;0.0%"/>
    <numFmt numFmtId="167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color rgb="005F6B7A"/>
      <sz val="9"/>
    </font>
    <font>
      <name val="Microsoft JhengHei"/>
      <b val="1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9" fontId="4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CE7B2"/>
        </patternFill>
      </fill>
    </dxf>
    <dxf>
      <font>
        <b val="1"/>
        <color rgb="00C83E3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20" customWidth="1" min="5" max="5"/>
    <col width="11" customWidth="1" min="6" max="6"/>
    <col width="10" customWidth="1" min="7" max="7"/>
    <col width="11" customWidth="1" min="8" max="8"/>
    <col width="48" customWidth="1" min="9" max="9"/>
  </cols>
  <sheetData>
    <row r="1">
      <c r="A1" s="1" t="inlineStr">
        <is>
          <t>Zava 零售　Zava 中秋檔　週銷售表</t>
        </is>
      </c>
    </row>
    <row r="2">
      <c r="A2" s="2" t="inlineStr">
        <is>
          <t>文件編號 RPT-WK-2026-41　資料截止日：2026-10-12　來源：POS／BI 週彙總　承辦：區域營運部　營運分析組</t>
        </is>
      </c>
    </row>
    <row r="4" ht="30" customHeight="1">
      <c r="A4" s="3" t="inlineStr">
        <is>
          <t>週別</t>
        </is>
      </c>
      <c r="B4" s="3" t="inlineStr">
        <is>
          <t>起</t>
        </is>
      </c>
      <c r="C4" s="3" t="inlineStr">
        <is>
          <t>迄</t>
        </is>
      </c>
      <c r="D4" s="3" t="inlineStr">
        <is>
          <t>期間性質</t>
        </is>
      </c>
      <c r="E4" s="3" t="inlineStr">
        <is>
          <t>銷售指數(基期=100)</t>
        </is>
      </c>
      <c r="F4" s="3" t="inlineStr">
        <is>
          <t>相對基期</t>
        </is>
      </c>
      <c r="G4" s="3" t="inlineStr">
        <is>
          <t>毛利率</t>
        </is>
      </c>
      <c r="H4" s="3" t="inlineStr">
        <is>
          <t>毛利指數</t>
        </is>
      </c>
      <c r="I4" s="3" t="inlineStr">
        <is>
          <t>備註</t>
        </is>
      </c>
    </row>
    <row r="5">
      <c r="A5" s="4" t="inlineStr">
        <is>
          <t>基期</t>
        </is>
      </c>
      <c r="B5" s="5" t="n"/>
      <c r="C5" s="5" t="n"/>
      <c r="D5" s="4" t="inlineStr">
        <is>
          <t>基期</t>
        </is>
      </c>
      <c r="E5" s="6" t="n">
        <v>100</v>
      </c>
      <c r="F5" s="7">
        <f>E5/$E$5-1</f>
        <v/>
      </c>
      <c r="G5" s="8" t="n">
        <v>0.28</v>
      </c>
      <c r="H5" s="9">
        <f>E5*G5</f>
        <v/>
      </c>
      <c r="I5" s="10" t="inlineStr">
        <is>
          <t>檔期前四週平均（8/10–9/6），見「基期週明細」</t>
        </is>
      </c>
    </row>
    <row r="6">
      <c r="A6" s="4" t="inlineStr">
        <is>
          <t>W1</t>
        </is>
      </c>
      <c r="B6" s="5" t="n">
        <v>46272</v>
      </c>
      <c r="C6" s="5" t="n">
        <v>46278</v>
      </c>
      <c r="D6" s="4" t="inlineStr">
        <is>
          <t>檔前</t>
        </is>
      </c>
      <c r="E6" s="6" t="n">
        <v>95</v>
      </c>
      <c r="F6" s="7">
        <f>E6/$E$5-1</f>
        <v/>
      </c>
      <c r="G6" s="8" t="n">
        <v>0.28</v>
      </c>
      <c r="H6" s="9">
        <f>E6*G6</f>
        <v/>
      </c>
      <c r="I6" s="10" t="inlineStr"/>
    </row>
    <row r="7">
      <c r="A7" s="4" t="inlineStr">
        <is>
          <t>W2</t>
        </is>
      </c>
      <c r="B7" s="5" t="n">
        <v>46279</v>
      </c>
      <c r="C7" s="5" t="n">
        <v>46285</v>
      </c>
      <c r="D7" s="4" t="inlineStr">
        <is>
          <t>檔前</t>
        </is>
      </c>
      <c r="E7" s="6" t="n">
        <v>94</v>
      </c>
      <c r="F7" s="7">
        <f>E7/$E$5-1</f>
        <v/>
      </c>
      <c r="G7" s="8" t="n">
        <v>0.28</v>
      </c>
      <c r="H7" s="9">
        <f>E7*G7</f>
        <v/>
      </c>
      <c r="I7" s="10" t="inlineStr"/>
    </row>
    <row r="8">
      <c r="A8" s="4" t="inlineStr">
        <is>
          <t>W3</t>
        </is>
      </c>
      <c r="B8" s="5" t="n">
        <v>46286</v>
      </c>
      <c r="C8" s="5" t="n">
        <v>46292</v>
      </c>
      <c r="D8" s="4" t="inlineStr">
        <is>
          <t>檔期週</t>
        </is>
      </c>
      <c r="E8" s="6" t="n">
        <v>138</v>
      </c>
      <c r="F8" s="7">
        <f>E8/$E$5-1</f>
        <v/>
      </c>
      <c r="G8" s="8" t="n">
        <v>0.21</v>
      </c>
      <c r="H8" s="9">
        <f>E8*G8</f>
        <v/>
      </c>
      <c r="I8" s="10" t="inlineStr">
        <is>
          <t>Zava 中秋檔檔期週；滿額折扣＋節慶禮盒主推</t>
        </is>
      </c>
    </row>
    <row r="9">
      <c r="A9" s="4" t="inlineStr">
        <is>
          <t>W4</t>
        </is>
      </c>
      <c r="B9" s="5" t="n">
        <v>46293</v>
      </c>
      <c r="C9" s="5" t="n">
        <v>46299</v>
      </c>
      <c r="D9" s="4" t="inlineStr">
        <is>
          <t>檔後</t>
        </is>
      </c>
      <c r="E9" s="6" t="n">
        <v>97</v>
      </c>
      <c r="F9" s="7">
        <f>E9/$E$5-1</f>
        <v/>
      </c>
      <c r="G9" s="8" t="n">
        <v>0.28</v>
      </c>
      <c r="H9" s="9">
        <f>E9*G9</f>
        <v/>
      </c>
      <c r="I9" s="10" t="inlineStr">
        <is>
          <t>加盟 2 家 POS 補傳後入帳</t>
        </is>
      </c>
    </row>
    <row r="11">
      <c r="A11" s="11" t="inlineStr">
        <is>
          <t>說明：</t>
        </is>
      </c>
    </row>
    <row r="12">
      <c r="A12" s="2" t="inlineStr">
        <is>
          <t>1. 銷售指數＝當週全通路銷售額 ÷ 基期週均銷售額 × 100。</t>
        </is>
      </c>
    </row>
    <row r="13">
      <c r="A13" s="2" t="inlineStr">
        <is>
          <t>2. 毛利率＝當週毛利 ÷ 當週銷售額，已含促銷折讓。</t>
        </is>
      </c>
    </row>
    <row r="14">
      <c r="A14" s="2" t="inlineStr">
        <is>
          <t>3. 毛利指數＝銷售指數 × 毛利率，僅供週間比較。</t>
        </is>
      </c>
    </row>
    <row r="15">
      <c r="A15" s="2" t="inlineStr">
        <is>
          <t>4. 資料範圍：120 家門市＋官網；加盟店 POS 未連線者已排除。</t>
        </is>
      </c>
    </row>
  </sheetData>
  <conditionalFormatting sqref="E6:E9">
    <cfRule type="cellIs" priority="1" operator="greaterThanOrEqual" dxfId="0">
      <formula>120</formula>
    </cfRule>
  </conditionalFormatting>
  <conditionalFormatting sqref="G6:G9">
    <cfRule type="cellIs" priority="2" operator="lessThan" dxfId="1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分區明細</t>
        </is>
      </c>
    </row>
    <row r="2">
      <c r="A2" s="2" t="inlineStr">
        <is>
          <t>銷售指數（基期=100）；資料截止日 2026-10-12</t>
        </is>
      </c>
    </row>
    <row r="4" ht="30" customHeight="1">
      <c r="A4" s="3" t="inlineStr">
        <is>
          <t>區域</t>
        </is>
      </c>
      <c r="B4" s="3" t="inlineStr">
        <is>
          <t>基期占比</t>
        </is>
      </c>
      <c r="C4" s="3" t="inlineStr">
        <is>
          <t>基期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北區</t>
        </is>
      </c>
      <c r="B5" s="12" t="n">
        <v>0.3</v>
      </c>
      <c r="C5" s="6" t="n">
        <v>100</v>
      </c>
      <c r="D5" s="6" t="n">
        <v>99</v>
      </c>
      <c r="E5" s="6" t="n">
        <v>98</v>
      </c>
      <c r="F5" s="6" t="n">
        <v>146</v>
      </c>
      <c r="G5" s="6" t="n">
        <v>101</v>
      </c>
    </row>
    <row r="6">
      <c r="A6" s="4" t="inlineStr">
        <is>
          <t>中區</t>
        </is>
      </c>
      <c r="B6" s="12" t="n">
        <v>0.3</v>
      </c>
      <c r="C6" s="6" t="n">
        <v>100</v>
      </c>
      <c r="D6" s="6" t="n">
        <v>93</v>
      </c>
      <c r="E6" s="6" t="n">
        <v>92</v>
      </c>
      <c r="F6" s="6" t="n">
        <v>134</v>
      </c>
      <c r="G6" s="6" t="n">
        <v>95</v>
      </c>
    </row>
    <row r="7">
      <c r="A7" s="4" t="inlineStr">
        <is>
          <t>南區</t>
        </is>
      </c>
      <c r="B7" s="12" t="n">
        <v>0.25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東區</t>
        </is>
      </c>
      <c r="B8" s="12" t="n">
        <v>0.15</v>
      </c>
      <c r="C8" s="6" t="n">
        <v>100</v>
      </c>
      <c r="D8" s="6" t="n">
        <v>91</v>
      </c>
      <c r="E8" s="6" t="n">
        <v>90</v>
      </c>
      <c r="F8" s="6" t="n">
        <v>130</v>
      </c>
      <c r="G8" s="6" t="n">
        <v>93</v>
      </c>
    </row>
    <row r="9">
      <c r="A9" s="13" t="inlineStr">
        <is>
          <t>全區加權</t>
        </is>
      </c>
      <c r="B9" s="14">
        <f>SUM(B5:B8)</f>
        <v/>
      </c>
      <c r="C9" s="15">
        <f>SUMPRODUCT($B$5:$B$8,C5:C8)</f>
        <v/>
      </c>
      <c r="D9" s="15">
        <f>SUMPRODUCT($B$5:$B$8,D5:D8)</f>
        <v/>
      </c>
      <c r="E9" s="15">
        <f>SUMPRODUCT($B$5:$B$8,E5:E8)</f>
        <v/>
      </c>
      <c r="F9" s="15">
        <f>SUMPRODUCT($B$5:$B$8,F5:F8)</f>
        <v/>
      </c>
      <c r="G9" s="15">
        <f>SUMPRODUCT($B$5:$B$8,G5:G8)</f>
        <v/>
      </c>
    </row>
  </sheetData>
  <conditionalFormatting sqref="D5:G8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品類明細</t>
        </is>
      </c>
    </row>
    <row r="2">
      <c r="A2" s="2" t="inlineStr">
        <is>
          <t>銷售指數（基期=100）；資料截止日 2026-10-12</t>
        </is>
      </c>
    </row>
    <row r="4" ht="30" customHeight="1">
      <c r="A4" s="3" t="inlineStr">
        <is>
          <t>品類</t>
        </is>
      </c>
      <c r="B4" s="3" t="inlineStr">
        <is>
          <t>基期占比</t>
        </is>
      </c>
      <c r="C4" s="3" t="inlineStr">
        <is>
          <t>基期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廚房收納</t>
        </is>
      </c>
      <c r="B5" s="12" t="n">
        <v>0.3</v>
      </c>
      <c r="C5" s="6" t="n">
        <v>100</v>
      </c>
      <c r="D5" s="6" t="n">
        <v>97</v>
      </c>
      <c r="E5" s="6" t="n">
        <v>96</v>
      </c>
      <c r="F5" s="6" t="n">
        <v>142</v>
      </c>
      <c r="G5" s="6" t="n">
        <v>99</v>
      </c>
    </row>
    <row r="6">
      <c r="A6" s="4" t="inlineStr">
        <is>
          <t>保鮮容器</t>
        </is>
      </c>
      <c r="B6" s="12" t="n">
        <v>0.25</v>
      </c>
      <c r="C6" s="6" t="n">
        <v>100</v>
      </c>
      <c r="D6" s="6" t="n">
        <v>91</v>
      </c>
      <c r="E6" s="6" t="n">
        <v>90</v>
      </c>
      <c r="F6" s="6" t="n">
        <v>130</v>
      </c>
      <c r="G6" s="6" t="n">
        <v>93</v>
      </c>
    </row>
    <row r="7">
      <c r="A7" s="4" t="inlineStr">
        <is>
          <t>寢具</t>
        </is>
      </c>
      <c r="B7" s="12" t="n">
        <v>0.2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小家電</t>
        </is>
      </c>
      <c r="B8" s="12" t="n">
        <v>0.15</v>
      </c>
      <c r="C8" s="6" t="n">
        <v>100</v>
      </c>
      <c r="D8" s="6" t="n">
        <v>97</v>
      </c>
      <c r="E8" s="6" t="n">
        <v>96</v>
      </c>
      <c r="F8" s="6" t="n">
        <v>142</v>
      </c>
      <c r="G8" s="6" t="n">
        <v>99</v>
      </c>
    </row>
    <row r="9">
      <c r="A9" s="4" t="inlineStr">
        <is>
          <t>節慶禮盒</t>
        </is>
      </c>
      <c r="B9" s="12" t="n">
        <v>0.1</v>
      </c>
      <c r="C9" s="6" t="n">
        <v>100</v>
      </c>
      <c r="D9" s="6" t="n">
        <v>96</v>
      </c>
      <c r="E9" s="6" t="n">
        <v>95</v>
      </c>
      <c r="F9" s="6" t="n">
        <v>140</v>
      </c>
      <c r="G9" s="6" t="n">
        <v>98</v>
      </c>
    </row>
    <row r="10">
      <c r="A10" s="13" t="inlineStr">
        <is>
          <t>全品類加權</t>
        </is>
      </c>
      <c r="B10" s="14">
        <f>SUM(B5:B9)</f>
        <v/>
      </c>
      <c r="C10" s="15">
        <f>SUMPRODUCT($B$5:$B$9,C5:C9)</f>
        <v/>
      </c>
      <c r="D10" s="15">
        <f>SUMPRODUCT($B$5:$B$9,D5:D9)</f>
        <v/>
      </c>
      <c r="E10" s="15">
        <f>SUMPRODUCT($B$5:$B$9,E5:E9)</f>
        <v/>
      </c>
      <c r="F10" s="15">
        <f>SUMPRODUCT($B$5:$B$9,F5:F9)</f>
        <v/>
      </c>
      <c r="G10" s="15">
        <f>SUMPRODUCT($B$5:$B$9,G5:G9)</f>
        <v/>
      </c>
    </row>
  </sheetData>
  <conditionalFormatting sqref="D5:G9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基期週明細</t>
        </is>
      </c>
    </row>
    <row r="2">
      <c r="A2" s="2" t="inlineStr">
        <is>
          <t>基期＝檔期前四週平均</t>
        </is>
      </c>
    </row>
    <row r="4" ht="30" customHeight="1">
      <c r="A4" s="3" t="inlineStr">
        <is>
          <t>週起日</t>
        </is>
      </c>
      <c r="B4" s="3" t="inlineStr">
        <is>
          <t>銷售指數</t>
        </is>
      </c>
      <c r="C4" s="3" t="inlineStr">
        <is>
          <t>毛利率</t>
        </is>
      </c>
    </row>
    <row r="5">
      <c r="A5" s="4" t="inlineStr">
        <is>
          <t>2026-08-10</t>
        </is>
      </c>
      <c r="B5" s="6" t="n">
        <v>99</v>
      </c>
      <c r="C5" s="8" t="n">
        <v>0.28</v>
      </c>
    </row>
    <row r="6">
      <c r="A6" s="4" t="inlineStr">
        <is>
          <t>2026-08-17</t>
        </is>
      </c>
      <c r="B6" s="6" t="n">
        <v>101</v>
      </c>
      <c r="C6" s="8" t="n">
        <v>0.28</v>
      </c>
    </row>
    <row r="7">
      <c r="A7" s="4" t="inlineStr">
        <is>
          <t>2026-08-24</t>
        </is>
      </c>
      <c r="B7" s="6" t="n">
        <v>100</v>
      </c>
      <c r="C7" s="8" t="n">
        <v>0.28</v>
      </c>
    </row>
    <row r="8">
      <c r="A8" s="4" t="inlineStr">
        <is>
          <t>2026-08-31</t>
        </is>
      </c>
      <c r="B8" s="6" t="n">
        <v>100</v>
      </c>
      <c r="C8" s="8" t="n">
        <v>0.28</v>
      </c>
    </row>
    <row r="9">
      <c r="A9" s="4" t="inlineStr">
        <is>
          <t>平均</t>
        </is>
      </c>
      <c r="B9" s="6">
        <f>AVERAGE(B5:B8)</f>
        <v/>
      </c>
      <c r="C9" s="8">
        <f>AVERAGE(C5:C8)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備註與版本</t>
        </is>
      </c>
    </row>
    <row r="3" ht="30" customHeight="1">
      <c r="A3" s="3" t="inlineStr">
        <is>
          <t>項目</t>
        </is>
      </c>
      <c r="B3" s="3" t="inlineStr">
        <is>
          <t>內容</t>
        </is>
      </c>
    </row>
    <row r="4">
      <c r="A4" s="4" t="inlineStr">
        <is>
          <t>資料來源</t>
        </is>
      </c>
      <c r="B4" s="10" t="inlineStr">
        <is>
          <t>POS 日結檔經 BI 週彙總；官網訂單以付款完成日計</t>
        </is>
      </c>
    </row>
    <row r="5">
      <c r="A5" s="4" t="inlineStr">
        <is>
          <t>檔期定義</t>
        </is>
      </c>
      <c r="B5" s="10" t="inlineStr">
        <is>
          <t>Zava 中秋檔：2026-09-21 至 2026-09-27（W3）</t>
        </is>
      </c>
    </row>
    <row r="6">
      <c r="A6" s="4" t="inlineStr">
        <is>
          <t>基期定義</t>
        </is>
      </c>
      <c r="B6" s="10" t="inlineStr">
        <is>
          <t>檔期前四週（2026-08-10 至 2026-09-06）平均，指數 100</t>
        </is>
      </c>
    </row>
    <row r="7">
      <c r="A7" s="4" t="inlineStr">
        <is>
          <t>毛利口徑</t>
        </is>
      </c>
      <c r="B7" s="10" t="inlineStr">
        <is>
          <t>含促銷折讓、不含供應商後續返利</t>
        </is>
      </c>
    </row>
    <row r="8">
      <c r="A8" s="4" t="inlineStr">
        <is>
          <t>已排除</t>
        </is>
      </c>
      <c r="B8" s="10" t="inlineStr">
        <is>
          <t>加盟 2 家 POS 未連線；團購大單 1 筆已另列</t>
        </is>
      </c>
    </row>
    <row r="9">
      <c r="A9" s="4" t="inlineStr">
        <is>
          <t>v1.2　2026-10-12</t>
        </is>
      </c>
      <c r="B9" s="10" t="inlineStr">
        <is>
          <t>W4 加盟店 POS 補傳完成後更新</t>
        </is>
      </c>
    </row>
    <row r="10">
      <c r="A10" s="4" t="inlineStr">
        <is>
          <t>v1.1　2026-10-05</t>
        </is>
      </c>
      <c r="B10" s="10" t="inlineStr">
        <is>
          <t>新增品類明細</t>
        </is>
      </c>
    </row>
    <row r="11">
      <c r="A11" s="4" t="inlineStr">
        <is>
          <t>v1.0　2026-09-29</t>
        </is>
      </c>
      <c r="B11" s="10" t="inlineStr">
        <is>
          <t>初版，含 W1–W3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2026-10-15T19:17:08Z</dcterms:created>
  <dcterms:modified xmlns:dcterms="http://purl.org/dc/terms/" xmlns:xsi="http://www.w3.org/2001/XMLSchema-instance" xsi:type="dcterms:W3CDTF">2026-10-15T19:17:08Z</dcterms:modified>
</cp:coreProperties>
</file>