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折扣例外登记" sheetId="1" state="visible" r:id="rId1"/>
    <sheet xmlns:r="http://schemas.openxmlformats.org/officeDocument/2006/relationships" name="已结案（中秋档）" sheetId="2" state="visible" r:id="rId2"/>
    <sheet xmlns:r="http://schemas.openxmlformats.org/officeDocument/2006/relationships" name="签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142B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C83E3E"/>
      </font>
      <fill>
        <patternFill patternType="solid">
          <bgColor rgb="00F6CFCF"/>
        </patternFill>
      </fill>
    </dxf>
    <dxf>
      <fill>
        <patternFill patternType="solid">
          <bgColor rgb="00D5EFE0"/>
        </patternFill>
      </fill>
    </dxf>
    <dxf>
      <fill>
        <patternFill patternType="solid">
          <bgColor rgb="00FCE7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18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10" customWidth="1" min="10" max="10"/>
    <col width="34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Zava 周年庆　折扣例外登记</t>
        </is>
      </c>
    </row>
    <row r="2">
      <c r="A2" s="2" t="inlineStr">
        <is>
          <t>文件编号 LOG-PRC-2026-11　数据截止日：2026-10-14　维护：定价治理组　EX-04 起由定价治理专员依序登记</t>
        </is>
      </c>
    </row>
    <row r="4" ht="30" customHeight="1">
      <c r="A4" s="3" t="inlineStr">
        <is>
          <t>编号</t>
        </is>
      </c>
      <c r="B4" s="3" t="inlineStr">
        <is>
          <t>申请日</t>
        </is>
      </c>
      <c r="C4" s="3" t="inlineStr">
        <is>
          <t>申请单位</t>
        </is>
      </c>
      <c r="D4" s="3" t="inlineStr">
        <is>
          <t>商品</t>
        </is>
      </c>
      <c r="E4" s="3" t="inlineStr">
        <is>
          <t>渠道</t>
        </is>
      </c>
      <c r="F4" s="3" t="inlineStr">
        <is>
          <t>折扣率</t>
        </is>
      </c>
      <c r="G4" s="3" t="inlineStr">
        <is>
          <t>净售价</t>
        </is>
      </c>
      <c r="H4" s="3" t="inlineStr">
        <is>
          <t>补贴(元/件)</t>
        </is>
      </c>
      <c r="I4" s="3" t="inlineStr">
        <is>
          <t>毛利率</t>
        </is>
      </c>
      <c r="J4" s="3" t="inlineStr">
        <is>
          <t>判定</t>
        </is>
      </c>
      <c r="K4" s="3" t="inlineStr">
        <is>
          <t>判定依据</t>
        </is>
      </c>
      <c r="L4" s="3" t="inlineStr">
        <is>
          <t>签批人</t>
        </is>
      </c>
      <c r="M4" s="3" t="inlineStr">
        <is>
          <t>签批日</t>
        </is>
      </c>
      <c r="N4" s="3" t="inlineStr">
        <is>
          <t>状态</t>
        </is>
      </c>
    </row>
    <row r="5">
      <c r="A5" s="4" t="inlineStr">
        <is>
          <t>EX-01</t>
        </is>
      </c>
      <c r="B5" s="5" t="inlineStr">
        <is>
          <t>2026-10-08</t>
        </is>
      </c>
      <c r="C5" s="4" t="inlineStr">
        <is>
          <t>线上商城运营组</t>
        </is>
      </c>
      <c r="D5" s="4" t="inlineStr">
        <is>
          <t>周年庆主打组合</t>
        </is>
      </c>
      <c r="E5" s="4" t="inlineStr">
        <is>
          <t>官网</t>
        </is>
      </c>
      <c r="F5" s="6" t="n">
        <v>0.25</v>
      </c>
      <c r="G5" s="7">
        <f>IF(F5="","",1000*(1-F5))</f>
        <v/>
      </c>
      <c r="H5" s="7" t="n"/>
      <c r="I5" s="8" t="n"/>
      <c r="J5" s="4" t="n"/>
      <c r="K5" s="9" t="n"/>
      <c r="L5" s="4" t="n"/>
      <c r="M5" s="5" t="n"/>
      <c r="N5" s="4" t="inlineStr">
        <is>
          <t>待判定</t>
        </is>
      </c>
    </row>
    <row r="6">
      <c r="A6" s="4" t="inlineStr">
        <is>
          <t>EX-02</t>
        </is>
      </c>
      <c r="B6" s="5" t="inlineStr">
        <is>
          <t>2026-10-09</t>
        </is>
      </c>
      <c r="C6" s="4" t="inlineStr">
        <is>
          <t>门店运营组</t>
        </is>
      </c>
      <c r="D6" s="4" t="inlineStr">
        <is>
          <t>周年庆主打组合</t>
        </is>
      </c>
      <c r="E6" s="4" t="inlineStr">
        <is>
          <t>门店</t>
        </is>
      </c>
      <c r="F6" s="6" t="n">
        <v>0.2</v>
      </c>
      <c r="G6" s="7">
        <f>IF(F6="","",1000*(1-F6))</f>
        <v/>
      </c>
      <c r="H6" s="7" t="n"/>
      <c r="I6" s="8" t="n"/>
      <c r="J6" s="4" t="n"/>
      <c r="K6" s="9" t="n"/>
      <c r="L6" s="4" t="n"/>
      <c r="M6" s="5" t="n"/>
      <c r="N6" s="4" t="inlineStr">
        <is>
          <t>待判定</t>
        </is>
      </c>
    </row>
    <row r="7">
      <c r="A7" s="4" t="inlineStr">
        <is>
          <t>EX-03</t>
        </is>
      </c>
      <c r="B7" s="5" t="inlineStr">
        <is>
          <t>2026-10-10</t>
        </is>
      </c>
      <c r="C7" s="4" t="inlineStr">
        <is>
          <t>加盟拓展组</t>
        </is>
      </c>
      <c r="D7" s="4" t="inlineStr">
        <is>
          <t>周年庆主打组合</t>
        </is>
      </c>
      <c r="E7" s="4" t="inlineStr">
        <is>
          <t>加盟</t>
        </is>
      </c>
      <c r="F7" s="6" t="n">
        <v>0.24</v>
      </c>
      <c r="G7" s="7">
        <f>IF(F7="","",1000*(1-F7))</f>
        <v/>
      </c>
      <c r="H7" s="7" t="n"/>
      <c r="I7" s="8" t="n"/>
      <c r="J7" s="4" t="n"/>
      <c r="K7" s="9" t="n"/>
      <c r="L7" s="4" t="n"/>
      <c r="M7" s="5" t="n"/>
      <c r="N7" s="4" t="inlineStr">
        <is>
          <t>待判定</t>
        </is>
      </c>
    </row>
    <row r="8">
      <c r="A8" s="4" t="n"/>
      <c r="B8" s="5" t="n"/>
      <c r="C8" s="4" t="n"/>
      <c r="D8" s="4" t="n"/>
      <c r="E8" s="4" t="n"/>
      <c r="F8" s="6" t="n"/>
      <c r="G8" s="7">
        <f>IF(F8="","",1000*(1-F8))</f>
        <v/>
      </c>
      <c r="H8" s="7" t="n"/>
      <c r="I8" s="8" t="n"/>
      <c r="J8" s="4" t="n"/>
      <c r="K8" s="9" t="n"/>
      <c r="L8" s="4" t="n"/>
      <c r="M8" s="5" t="n"/>
      <c r="N8" s="4" t="n"/>
    </row>
    <row r="9">
      <c r="A9" s="4" t="n"/>
      <c r="B9" s="5" t="n"/>
      <c r="C9" s="4" t="n"/>
      <c r="D9" s="4" t="n"/>
      <c r="E9" s="4" t="n"/>
      <c r="F9" s="6" t="n"/>
      <c r="G9" s="7">
        <f>IF(F9="","",1000*(1-F9))</f>
        <v/>
      </c>
      <c r="H9" s="7" t="n"/>
      <c r="I9" s="8" t="n"/>
      <c r="J9" s="4" t="n"/>
      <c r="K9" s="9" t="n"/>
      <c r="L9" s="4" t="n"/>
      <c r="M9" s="5" t="n"/>
      <c r="N9" s="4" t="n"/>
    </row>
    <row r="10">
      <c r="A10" s="4" t="n"/>
      <c r="B10" s="5" t="n"/>
      <c r="C10" s="4" t="n"/>
      <c r="D10" s="4" t="n"/>
      <c r="E10" s="4" t="n"/>
      <c r="F10" s="6" t="n"/>
      <c r="G10" s="7">
        <f>IF(F10="","",1000*(1-F10))</f>
        <v/>
      </c>
      <c r="H10" s="7" t="n"/>
      <c r="I10" s="8" t="n"/>
      <c r="J10" s="4" t="n"/>
      <c r="K10" s="9" t="n"/>
      <c r="L10" s="4" t="n"/>
      <c r="M10" s="5" t="n"/>
      <c r="N10" s="4" t="n"/>
    </row>
    <row r="11">
      <c r="A11" s="4" t="n"/>
      <c r="B11" s="5" t="n"/>
      <c r="C11" s="4" t="n"/>
      <c r="D11" s="4" t="n"/>
      <c r="E11" s="4" t="n"/>
      <c r="F11" s="6" t="n"/>
      <c r="G11" s="7">
        <f>IF(F11="","",1000*(1-F11))</f>
        <v/>
      </c>
      <c r="H11" s="7" t="n"/>
      <c r="I11" s="8" t="n"/>
      <c r="J11" s="4" t="n"/>
      <c r="K11" s="9" t="n"/>
      <c r="L11" s="4" t="n"/>
      <c r="M11" s="5" t="n"/>
      <c r="N11" s="4" t="n"/>
    </row>
    <row r="12">
      <c r="A12" s="4" t="n"/>
      <c r="B12" s="5" t="n"/>
      <c r="C12" s="4" t="n"/>
      <c r="D12" s="4" t="n"/>
      <c r="E12" s="4" t="n"/>
      <c r="F12" s="6" t="n"/>
      <c r="G12" s="7">
        <f>IF(F12="","",1000*(1-F12))</f>
        <v/>
      </c>
      <c r="H12" s="7" t="n"/>
      <c r="I12" s="8" t="n"/>
      <c r="J12" s="4" t="n"/>
      <c r="K12" s="9" t="n"/>
      <c r="L12" s="4" t="n"/>
      <c r="M12" s="5" t="n"/>
      <c r="N12" s="4" t="n"/>
    </row>
    <row r="14">
      <c r="A14" s="2" t="inlineStr">
        <is>
          <t>说明：净售价＝标准定价 1,000 元 ×（1 − 折扣率）；毛利率、判定与判定依据由定价治理专员依“渠道定价政策”填写。</t>
        </is>
      </c>
    </row>
  </sheetData>
  <conditionalFormatting sqref="J5:J12">
    <cfRule type="cellIs" priority="1" operator="equal" dxfId="0">
      <formula>"违规"</formula>
    </cfRule>
    <cfRule type="cellIs" priority="2" operator="equal" dxfId="1">
      <formula>"符合"</formula>
    </cfRule>
  </conditionalFormatting>
  <conditionalFormatting sqref="N5:N12">
    <cfRule type="cellIs" priority="3" operator="equal" dxfId="2">
      <formula>"待判定"</formula>
    </cfRule>
  </conditionalFormatting>
  <dataValidations count="3">
    <dataValidation sqref="E5:E12" showDropDown="0" showInputMessage="0" showErrorMessage="0" allowBlank="1" type="list">
      <formula1>"官网,门店,加盟"</formula1>
    </dataValidation>
    <dataValidation sqref="J5:J12" showDropDown="0" showInputMessage="0" showErrorMessage="0" allowBlank="1" type="list">
      <formula1>"符合,违规,待确认"</formula1>
    </dataValidation>
    <dataValidation sqref="N5:N12" showDropDown="0" showInputMessage="0" showErrorMessage="0" allowBlank="1" type="list">
      <formula1>"待判定,已判定,已签批"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8" customWidth="1" min="3" max="3"/>
    <col width="22" customWidth="1" min="4" max="4"/>
    <col width="9" customWidth="1" min="5" max="5"/>
    <col width="9" customWidth="1" min="6" max="6"/>
    <col width="10" customWidth="1" min="7" max="7"/>
    <col width="13" customWidth="1" min="8" max="8"/>
    <col width="10" customWidth="1" min="9" max="9"/>
    <col width="10" customWidth="1" min="10" max="10"/>
    <col width="24" customWidth="1" min="11" max="11"/>
    <col width="12" customWidth="1" min="12" max="12"/>
    <col width="12" customWidth="1" min="13" max="13"/>
    <col width="10" customWidth="1" min="14" max="14"/>
  </cols>
  <sheetData>
    <row r="1">
      <c r="A1" s="1" t="inlineStr">
        <is>
          <t>已结案例外（上一档期）</t>
        </is>
      </c>
    </row>
    <row r="3" ht="30" customHeight="1">
      <c r="A3" s="3" t="inlineStr">
        <is>
          <t>编号</t>
        </is>
      </c>
      <c r="B3" s="3" t="inlineStr">
        <is>
          <t>申请日</t>
        </is>
      </c>
      <c r="C3" s="3" t="inlineStr">
        <is>
          <t>申请单位</t>
        </is>
      </c>
      <c r="D3" s="3" t="inlineStr">
        <is>
          <t>商品</t>
        </is>
      </c>
      <c r="E3" s="3" t="inlineStr">
        <is>
          <t>渠道</t>
        </is>
      </c>
      <c r="F3" s="3" t="inlineStr">
        <is>
          <t>折扣率</t>
        </is>
      </c>
      <c r="G3" s="3" t="inlineStr">
        <is>
          <t>净售价</t>
        </is>
      </c>
      <c r="H3" s="3" t="inlineStr">
        <is>
          <t>补贴(元/件)</t>
        </is>
      </c>
      <c r="I3" s="3" t="inlineStr">
        <is>
          <t>毛利率</t>
        </is>
      </c>
      <c r="J3" s="3" t="inlineStr">
        <is>
          <t>判定</t>
        </is>
      </c>
      <c r="K3" s="3" t="inlineStr">
        <is>
          <t>判定依据</t>
        </is>
      </c>
      <c r="L3" s="3" t="inlineStr">
        <is>
          <t>签批人</t>
        </is>
      </c>
      <c r="M3" s="3" t="inlineStr">
        <is>
          <t>签批日</t>
        </is>
      </c>
      <c r="N3" s="3" t="inlineStr">
        <is>
          <t>状态</t>
        </is>
      </c>
    </row>
    <row r="4">
      <c r="A4" s="4" t="inlineStr">
        <is>
          <t>EX-H01</t>
        </is>
      </c>
      <c r="B4" s="4" t="inlineStr">
        <is>
          <t>2026-09-12</t>
        </is>
      </c>
      <c r="C4" s="4" t="inlineStr">
        <is>
          <t>门店运营组</t>
        </is>
      </c>
      <c r="D4" s="4" t="inlineStr">
        <is>
          <t>中秋保鲜盒组</t>
        </is>
      </c>
      <c r="E4" s="4" t="inlineStr">
        <is>
          <t>门店</t>
        </is>
      </c>
      <c r="F4" s="6" t="n">
        <v>0.18</v>
      </c>
      <c r="G4" s="7" t="n">
        <v>820</v>
      </c>
      <c r="H4" s="4" t="n">
        <v>0</v>
      </c>
      <c r="I4" s="8" t="n">
        <v>0.317</v>
      </c>
      <c r="J4" s="4" t="inlineStr">
        <is>
          <t>符合</t>
        </is>
      </c>
      <c r="K4" s="4" t="inlineStr">
        <is>
          <t>毛利高于底线</t>
        </is>
      </c>
      <c r="L4" s="4" t="inlineStr">
        <is>
          <t>吴淑芬</t>
        </is>
      </c>
      <c r="M4" s="4" t="inlineStr">
        <is>
          <t>2026-09-12</t>
        </is>
      </c>
      <c r="N4" s="4" t="inlineStr">
        <is>
          <t>已签批</t>
        </is>
      </c>
    </row>
    <row r="5">
      <c r="A5" s="4" t="inlineStr">
        <is>
          <t>EX-H02</t>
        </is>
      </c>
      <c r="B5" s="4" t="inlineStr">
        <is>
          <t>2026-09-13</t>
        </is>
      </c>
      <c r="C5" s="4" t="inlineStr">
        <is>
          <t>加盟拓展组</t>
        </is>
      </c>
      <c r="D5" s="4" t="inlineStr">
        <is>
          <t>中秋保鲜盒组</t>
        </is>
      </c>
      <c r="E5" s="4" t="inlineStr">
        <is>
          <t>加盟</t>
        </is>
      </c>
      <c r="F5" s="6" t="n">
        <v>0.16</v>
      </c>
      <c r="G5" s="7" t="n">
        <v>840</v>
      </c>
      <c r="H5" s="4" t="n">
        <v>0</v>
      </c>
      <c r="I5" s="8" t="n">
        <v>0.295</v>
      </c>
      <c r="J5" s="4" t="inlineStr">
        <is>
          <t>符合</t>
        </is>
      </c>
      <c r="K5" s="4" t="inlineStr">
        <is>
          <t>毛利高于底线</t>
        </is>
      </c>
      <c r="L5" s="4" t="inlineStr">
        <is>
          <t>吴淑芬</t>
        </is>
      </c>
      <c r="M5" s="4" t="inlineStr">
        <is>
          <t>2026-09-13</t>
        </is>
      </c>
      <c r="N5" s="4" t="inlineStr">
        <is>
          <t>已签批</t>
        </is>
      </c>
    </row>
    <row r="6">
      <c r="A6" s="4" t="inlineStr">
        <is>
          <t>EX-H03</t>
        </is>
      </c>
      <c r="B6" s="4" t="inlineStr">
        <is>
          <t>2026-09-15</t>
        </is>
      </c>
      <c r="C6" s="4" t="inlineStr">
        <is>
          <t>线上商城运营组</t>
        </is>
      </c>
      <c r="D6" s="4" t="inlineStr">
        <is>
          <t>中秋保鲜盒组</t>
        </is>
      </c>
      <c r="E6" s="4" t="inlineStr">
        <is>
          <t>官网</t>
        </is>
      </c>
      <c r="F6" s="6" t="n">
        <v>0.2</v>
      </c>
      <c r="G6" s="7" t="n">
        <v>800</v>
      </c>
      <c r="H6" s="4" t="n">
        <v>0</v>
      </c>
      <c r="I6" s="8" t="n">
        <v>0.275</v>
      </c>
      <c r="J6" s="4" t="inlineStr">
        <is>
          <t>符合</t>
        </is>
      </c>
      <c r="K6" s="4" t="inlineStr">
        <is>
          <t>毛利高于底线</t>
        </is>
      </c>
      <c r="L6" s="4" t="inlineStr">
        <is>
          <t>吴淑芬</t>
        </is>
      </c>
      <c r="M6" s="4" t="inlineStr">
        <is>
          <t>2026-09-15</t>
        </is>
      </c>
      <c r="N6" s="4" t="inlineStr">
        <is>
          <t>已签批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4" customWidth="1" min="3" max="3"/>
  </cols>
  <sheetData>
    <row r="1">
      <c r="A1" s="1" t="inlineStr">
        <is>
          <t>签批规则</t>
        </is>
      </c>
    </row>
    <row r="3" ht="30" customHeight="1">
      <c r="A3" s="3" t="inlineStr">
        <is>
          <t>步骤</t>
        </is>
      </c>
      <c r="B3" s="3" t="inlineStr">
        <is>
          <t>角色</t>
        </is>
      </c>
      <c r="C3" s="3" t="inlineStr">
        <is>
          <t>职责</t>
        </is>
      </c>
    </row>
    <row r="4">
      <c r="A4" s="4" t="inlineStr">
        <is>
          <t>1</t>
        </is>
      </c>
      <c r="B4" s="9" t="inlineStr">
        <is>
          <t>申请单位</t>
        </is>
      </c>
      <c r="C4" s="9" t="inlineStr">
        <is>
          <t>登记渠道、折扣率、商品</t>
        </is>
      </c>
    </row>
    <row r="5">
      <c r="A5" s="4" t="inlineStr">
        <is>
          <t>2</t>
        </is>
      </c>
      <c r="B5" s="9" t="inlineStr">
        <is>
          <t>定价治理专员（吴淑芬）</t>
        </is>
      </c>
      <c r="C5" s="9" t="inlineStr">
        <is>
          <t>判定毛利是否达到底线并写明依据</t>
        </is>
      </c>
    </row>
    <row r="6">
      <c r="A6" s="4" t="inlineStr">
        <is>
          <t>3</t>
        </is>
      </c>
      <c r="B6" s="9" t="inlineStr">
        <is>
          <t>区域运营经理（林雅婷）</t>
        </is>
      </c>
      <c r="C6" s="9" t="inlineStr">
        <is>
          <t>判定符合的予以签批</t>
        </is>
      </c>
    </row>
    <row r="7">
      <c r="A7" s="4" t="inlineStr">
        <is>
          <t>4</t>
        </is>
      </c>
      <c r="B7" s="9" t="inlineStr">
        <is>
          <t>区域总监（蔡明哲）</t>
        </is>
      </c>
      <c r="C7" s="9" t="inlineStr">
        <is>
          <t>超过 15% 的例外最终签批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2026-10-15T19:17:10Z</dcterms:created>
  <dcterms:modified xmlns:dcterms="http://purl.org/dc/terms/" xmlns:xsi="http://www.w3.org/2001/XMLSchema-instance" xsi:type="dcterms:W3CDTF">2026-10-15T19:17:10Z</dcterms:modified>
</cp:coreProperties>
</file>